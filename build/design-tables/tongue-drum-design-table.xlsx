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57840" windowHeight="31920" tabRatio="600" firstSheet="41" autoFilterDateGrouping="1"/>
  </bookViews>
  <sheets>
    <sheet xmlns:r="http://schemas.openxmlformats.org/officeDocument/2006/relationships" name="Tongue Drum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2">
    <numFmt numFmtId="164" formatCode="0.0"/>
    <numFmt numFmtId="165" formatCode="0.000"/>
    <numFmt numFmtId="166" formatCode="#,##0.000"/>
    <numFmt numFmtId="167" formatCode="0.0000"/>
    <numFmt numFmtId="168" formatCode="&quot;$&quot;#,##0.00"/>
    <numFmt numFmtId="169" formatCode="m/d"/>
    <numFmt numFmtId="170" formatCode="m/d/yy"/>
    <numFmt numFmtId="171" formatCode="#\ ##/##"/>
    <numFmt numFmtId="172" formatCode="#\ ###/###"/>
    <numFmt numFmtId="173" formatCode="0.000000"/>
    <numFmt numFmtId="174" formatCode="\+0.000;\-0.000;0.000"/>
    <numFmt numFmtId="175" formatCode="\+0.0%;\-0.0%;0.0%"/>
    <numFmt numFmtId="176" formatCode="\+0.0;\-0.0;&quot;0.0&quot;"/>
    <numFmt numFmtId="177" formatCode="\+0.00;\-0.00;&quot;0.00&quot;"/>
    <numFmt numFmtId="178" formatCode="0.00000"/>
    <numFmt numFmtId="179" formatCode="0.0%"/>
    <numFmt numFmtId="180" formatCode="#,##0.0"/>
    <numFmt numFmtId="181" formatCode="0.0&quot;%&quot;"/>
    <numFmt numFmtId="182" formatCode="0.0&quot;°&quot;"/>
    <numFmt numFmtId="183" formatCode="0.00&quot;°&quot;"/>
    <numFmt numFmtId="184" formatCode="0.000&quot;&quot;"/>
    <numFmt numFmtId="185" formatCode="0.0&quot;&quot;"/>
  </numFmts>
  <fonts count="90">
    <font>
      <name val="Arial"/>
      <color rgb="FF000000"/>
      <sz val="10"/>
    </font>
    <font>
      <name val="Arial"/>
      <b val="1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color rgb="FF1155CC"/>
      <sz val="10"/>
      <u val="single"/>
    </font>
    <font>
      <name val="Arial"/>
      <color rgb="FF0000FF"/>
      <sz val="10"/>
      <u val="single"/>
    </font>
    <font>
      <name val="Arial"/>
      <b val="1"/>
      <sz val="10"/>
    </font>
    <font>
      <name val="Inconsolata"/>
      <sz val="10"/>
    </font>
    <font>
      <name val="Arial"/>
      <b val="1"/>
      <color rgb="FFFFFFFF"/>
      <sz val="10"/>
    </font>
    <font>
      <name val="Arial"/>
      <color rgb="FFFFFFFF"/>
      <sz val="10"/>
    </font>
    <font>
      <name val="Arial"/>
      <b val="1"/>
      <color rgb="FF000000"/>
      <sz val="10"/>
    </font>
    <font>
      <name val="Arial"/>
      <b val="1"/>
      <color rgb="FF000000"/>
      <sz val="14"/>
    </font>
    <font>
      <name val="Arial"/>
      <color rgb="FFC0C0C0"/>
      <sz val="10"/>
    </font>
    <font>
      <name val="Arial"/>
      <i val="1"/>
      <color rgb="FFC0C0C0"/>
      <sz val="10"/>
    </font>
    <font>
      <name val="Arial"/>
      <color rgb="FF969696"/>
      <sz val="10"/>
    </font>
    <font>
      <name val="Arial"/>
      <b val="1"/>
      <color rgb="FF969696"/>
      <sz val="10"/>
    </font>
    <font>
      <name val="Arial"/>
      <b val="1"/>
      <color rgb="FF993366"/>
      <sz val="10"/>
    </font>
    <font>
      <name val="Arial"/>
      <color rgb="FF993366"/>
      <sz val="10"/>
    </font>
    <font>
      <name val="Arial"/>
      <color rgb="FF000000"/>
      <sz val="10"/>
    </font>
    <font>
      <name val="Arial"/>
      <color rgb="FF0000FF"/>
      <sz val="10"/>
    </font>
    <font>
      <name val="Arial"/>
      <b val="1"/>
      <color rgb="FF0000FF"/>
      <sz val="10"/>
    </font>
    <font>
      <name val="Arial"/>
      <color rgb="FF666666"/>
      <sz val="10"/>
    </font>
    <font>
      <name val="Arial"/>
      <i val="1"/>
      <color rgb="FF666666"/>
      <sz val="10"/>
    </font>
    <font>
      <name val="Arial"/>
      <b val="1"/>
      <color rgb="FFFFFFFF"/>
      <sz val="12"/>
    </font>
    <font>
      <name val="Arial"/>
      <b val="1"/>
      <color rgb="FF000000"/>
      <sz val="11"/>
    </font>
    <font>
      <name val="Arial"/>
      <i val="1"/>
      <color rgb="FF666666"/>
      <sz val="9"/>
    </font>
    <font>
      <name val="Arial"/>
      <color rgb="FF006400"/>
      <sz val="10"/>
    </font>
    <font>
      <name val="Arial"/>
      <b val="1"/>
      <color rgb="FF006400"/>
      <sz val="10"/>
    </font>
    <font>
      <name val="Arial"/>
      <color rgb="FFCC0000"/>
      <sz val="10"/>
    </font>
    <font>
      <name val="Arial"/>
      <color rgb="FF333333"/>
      <sz val="9"/>
    </font>
    <font>
      <name val="Arial"/>
      <b val="1"/>
      <color rgb="FF1F4E79"/>
      <sz val="14"/>
    </font>
    <font>
      <name val="Arial"/>
      <color rgb="FF1F4E79"/>
      <sz val="10"/>
    </font>
    <font>
      <name val="Arial"/>
      <b val="1"/>
      <color rgb="FF1F4E79"/>
      <sz val="12"/>
    </font>
    <font>
      <name val="Arial"/>
      <b val="1"/>
      <color rgb="FF1F4E79"/>
      <sz val="10"/>
    </font>
    <font>
      <name val="Arial"/>
      <b val="1"/>
      <color rgb="FF000000"/>
      <sz val="12"/>
    </font>
    <font>
      <name val="Arial"/>
      <b val="1"/>
      <i val="1"/>
      <color rgb="FF666666"/>
      <sz val="10"/>
    </font>
    <font>
      <name val="Arial"/>
      <color rgb="FF999999"/>
      <sz val="10"/>
    </font>
    <font>
      <name val="Arial"/>
      <i val="1"/>
      <color rgb="FF999999"/>
      <sz val="9"/>
    </font>
    <font>
      <name val="Arial"/>
      <color rgb="FF2E75B6"/>
      <sz val="10"/>
    </font>
    <font>
      <name val="Arial"/>
      <b val="1"/>
      <color rgb="FF2E75B6"/>
      <sz val="10"/>
    </font>
    <font>
      <name val="Arial"/>
      <color rgb="FF5B9BD5"/>
      <sz val="10"/>
    </font>
    <font>
      <name val="Arial"/>
      <b val="1"/>
      <color rgb="FF5B9BD5"/>
      <sz val="10"/>
    </font>
    <font>
      <name val="Arial"/>
      <color rgb="FF9DC3E6"/>
      <sz val="10"/>
    </font>
    <font>
      <name val="Arial"/>
      <b val="1"/>
      <color rgb="FF9DC3E6"/>
      <sz val="10"/>
    </font>
    <font>
      <name val="Arial"/>
      <b val="1"/>
      <i val="1"/>
      <color rgb="FF1F4E79"/>
      <sz val="9"/>
    </font>
    <font>
      <name val="Arial"/>
      <i val="1"/>
      <color rgb="FF000000"/>
      <sz val="10"/>
    </font>
    <font>
      <name val="Arial"/>
      <color rgb="FF000000"/>
      <sz val="9"/>
    </font>
    <font>
      <name val="Arial"/>
      <b val="1"/>
      <color rgb="FFCC4125"/>
      <sz val="10"/>
    </font>
    <font>
      <name val="Arial"/>
      <b val="1"/>
      <i val="1"/>
      <color rgb="FF999999"/>
      <sz val="9"/>
    </font>
    <font>
      <name val="Arial"/>
      <b val="1"/>
      <color rgb="FF990000"/>
      <sz val="10"/>
    </font>
    <font>
      <name val="Arial"/>
      <b val="1"/>
      <color rgb="FF000000"/>
      <sz val="9"/>
    </font>
    <font>
      <name val="Arial"/>
      <b val="1"/>
      <color rgb="FFCC0000"/>
      <sz val="10"/>
    </font>
    <font>
      <name val="Arial"/>
      <i val="1"/>
      <color rgb="FF999999"/>
      <sz val="10"/>
    </font>
    <font>
      <name val="Arial"/>
      <color rgb="FF0000CC"/>
      <sz val="10"/>
    </font>
    <font>
      <name val="Arial"/>
      <b val="1"/>
      <color rgb="FF0000CC"/>
      <sz val="10"/>
    </font>
    <font>
      <name val="Arial"/>
      <i val="1"/>
      <color rgb="FF0000FF"/>
      <sz val="9"/>
    </font>
    <font>
      <name val="Tahoma"/>
      <charset val="1"/>
      <color indexed="81"/>
      <sz val="9"/>
    </font>
    <font>
      <name val="Tahoma"/>
      <charset val="1"/>
      <b val="1"/>
      <color indexed="81"/>
      <sz val="9"/>
    </font>
    <font>
      <name val="Arial"/>
      <b val="1"/>
      <color rgb="FF999999"/>
      <sz val="9"/>
    </font>
    <font>
      <name val="Arial"/>
      <b val="1"/>
      <color rgb="FFCC0000"/>
      <sz val="9"/>
    </font>
    <font>
      <name val="Arial"/>
      <color rgb="FFCC0000"/>
      <sz val="9"/>
    </font>
    <font>
      <name val="Arial"/>
      <b val="1"/>
      <i val="1"/>
      <color rgb="FF666666"/>
      <sz val="9"/>
    </font>
    <font>
      <name val="Arial"/>
      <b val="1"/>
      <color rgb="FF000000"/>
      <sz val="16"/>
    </font>
    <font>
      <name val="Arial"/>
      <color rgb="FF555555"/>
      <sz val="10"/>
    </font>
    <font>
      <name val="Arial"/>
      <i val="1"/>
      <color rgb="FF555555"/>
      <sz val="10"/>
    </font>
    <font>
      <name val="Arial"/>
      <b val="1"/>
      <color rgb="FFFFFFFF"/>
      <sz val="11"/>
    </font>
    <font>
      <name val="Arial"/>
      <color rgb="FF008000"/>
      <sz val="10"/>
    </font>
    <font>
      <name val="Arial"/>
      <color rgb="FFFF0000"/>
      <sz val="10"/>
    </font>
    <font>
      <name val="Arial"/>
      <b val="1"/>
      <color rgb="FFFF0000"/>
      <sz val="10"/>
    </font>
    <font>
      <name val="Arial"/>
      <b val="1"/>
      <color rgb="FF555555"/>
      <sz val="10"/>
    </font>
    <font>
      <name val="Arial"/>
      <b val="1"/>
      <i val="1"/>
      <color rgb="FF555555"/>
      <sz val="10"/>
    </font>
    <font>
      <name val="Arial"/>
      <i val="1"/>
      <color rgb="FFFF0000"/>
      <sz val="10"/>
    </font>
    <font>
      <name val="Arial"/>
      <color rgb="FFFF8C00"/>
      <sz val="10"/>
    </font>
    <font>
      <name val="Arial"/>
      <i val="1"/>
      <color rgb="FF888888"/>
      <sz val="9"/>
    </font>
    <font>
      <name val="Arial"/>
      <b val="1"/>
      <color rgb="FF333333"/>
      <sz val="10"/>
    </font>
    <font>
      <name val="Arial"/>
      <b val="1"/>
      <color rgb="FF006600"/>
      <sz val="10"/>
    </font>
    <font>
      <name val="Arial"/>
      <b val="1"/>
      <i val="1"/>
      <color rgb="FFFFFFFF"/>
      <sz val="11"/>
    </font>
    <font>
      <name val="Arial"/>
      <i val="1"/>
      <color rgb="FF008000"/>
      <sz val="10"/>
    </font>
    <font>
      <name val="Arial"/>
      <b val="1"/>
      <i val="1"/>
      <color rgb="FF008000"/>
      <sz val="10"/>
    </font>
    <font>
      <name val="Arial"/>
      <i val="1"/>
      <color rgb="FF7030A0"/>
      <sz val="10"/>
    </font>
    <font>
      <name val="Arial"/>
      <i val="1"/>
      <color rgb="FF548235"/>
      <sz val="10"/>
    </font>
    <font>
      <name val="Consolas"/>
      <color rgb="FF000000"/>
      <sz val="9"/>
    </font>
    <font>
      <name val="Consolas"/>
      <i val="1"/>
      <color rgb="FF4472C4"/>
      <sz val="9"/>
    </font>
    <font>
      <name val="Consolas"/>
      <b val="1"/>
      <color rgb="FFFFFFFF"/>
      <sz val="11"/>
    </font>
    <font>
      <name val="Arial"/>
      <b val="1"/>
      <color rgb="FFFFFFFF"/>
      <sz val="14"/>
    </font>
    <font>
      <name val="Arial"/>
      <i val="1"/>
      <color rgb="FF5C2D91"/>
      <sz val="10"/>
    </font>
    <font>
      <name val="Arial"/>
      <b val="1"/>
      <i val="1"/>
      <color rgb="FF5C2D91"/>
      <sz val="10"/>
    </font>
    <font>
      <name val="Arial"/>
      <b val="1"/>
      <i val="1"/>
      <color rgb="FFFFFFFF"/>
      <sz val="14"/>
    </font>
    <font>
      <name val="Arial"/>
      <family val="2"/>
      <color rgb="FF000000"/>
      <sz val="12"/>
    </font>
  </fonts>
  <fills count="90">
    <fill>
      <patternFill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6FA8DC"/>
        <bgColor rgb="FF6FA8DC"/>
      </patternFill>
    </fill>
    <fill>
      <patternFill patternType="solid">
        <fgColor rgb="FFD5A6BD"/>
        <bgColor rgb="FFD5A6BD"/>
      </patternFill>
    </fill>
    <fill>
      <patternFill patternType="solid">
        <fgColor rgb="FF93C47D"/>
        <bgColor rgb="FF93C47D"/>
      </patternFill>
    </fill>
    <fill>
      <patternFill patternType="solid">
        <fgColor rgb="FFC0C0C0"/>
        <bgColor rgb="FFC0C0C0"/>
      </patternFill>
    </fill>
    <fill>
      <patternFill patternType="solid">
        <fgColor rgb="FFFFD966"/>
        <bgColor rgb="FFFFD966"/>
      </patternFill>
    </fill>
    <fill>
      <patternFill patternType="solid">
        <fgColor rgb="FFCC99FF"/>
        <bgColor rgb="FFCC99FF"/>
      </patternFill>
    </fill>
    <fill>
      <patternFill patternType="solid">
        <fgColor rgb="FFF6B26B"/>
        <bgColor rgb="FFF6B26B"/>
      </patternFill>
    </fill>
    <fill>
      <patternFill patternType="solid">
        <fgColor rgb="FFCCFFFF"/>
        <bgColor rgb="FFCCFFFF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  <fill>
      <patternFill patternType="solid">
        <fgColor rgb="FF6AA84F"/>
        <bgColor rgb="FF6AA84F"/>
      </patternFill>
    </fill>
    <fill>
      <patternFill patternType="solid">
        <fgColor rgb="FFFCF305"/>
        <bgColor rgb="FFFCF305"/>
      </patternFill>
    </fill>
    <fill>
      <patternFill patternType="solid">
        <fgColor rgb="FFC9DAF8"/>
        <bgColor rgb="FFC9DAF8"/>
      </patternFill>
    </fill>
    <fill>
      <patternFill patternType="solid">
        <fgColor rgb="FFC27BA0"/>
        <bgColor rgb="FFC27BA0"/>
      </patternFill>
    </fill>
    <fill>
      <patternFill patternType="solid">
        <fgColor rgb="FFA64D79"/>
        <bgColor rgb="FFA64D79"/>
      </patternFill>
    </fill>
    <fill>
      <patternFill patternType="solid">
        <fgColor rgb="FF38761D"/>
        <bgColor rgb="FF38761D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  <fill>
      <patternFill patternType="solid">
        <fgColor rgb="FFBF9000"/>
        <bgColor rgb="FFBF9000"/>
      </patternFill>
    </fill>
    <fill>
      <patternFill patternType="solid">
        <fgColor rgb="FFFFFF00"/>
        <bgColor rgb="FFFFFF00"/>
      </patternFill>
    </fill>
    <fill>
      <patternFill patternType="solid">
        <fgColor rgb="FF1FB714"/>
        <bgColor rgb="FF1FB714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76A5AF"/>
        <bgColor rgb="FF76A5AF"/>
      </patternFill>
    </fill>
    <fill>
      <patternFill patternType="solid">
        <fgColor rgb="FF6D9EEB"/>
        <bgColor rgb="FF6D9EEB"/>
      </patternFill>
    </fill>
    <fill>
      <patternFill patternType="solid">
        <fgColor rgb="FFCC4125"/>
        <bgColor rgb="FFCC4125"/>
      </patternFill>
    </fill>
    <fill>
      <patternFill patternType="solid">
        <fgColor rgb="FFE06666"/>
        <bgColor rgb="FFE06666"/>
      </patternFill>
    </fill>
    <fill>
      <patternFill patternType="solid">
        <fgColor rgb="FFD9EAD3"/>
        <bgColor rgb="FFD9EAD3"/>
      </patternFill>
    </fill>
    <fill>
      <patternFill patternType="solid">
        <fgColor rgb="FFFFCC99"/>
        <bgColor rgb="FFFFCC99"/>
      </patternFill>
    </fill>
    <fill>
      <patternFill patternType="solid">
        <fgColor rgb="FF000090"/>
        <bgColor rgb="FF000090"/>
      </patternFill>
    </fill>
    <fill>
      <patternFill patternType="solid">
        <fgColor rgb="FF00CCFF"/>
        <bgColor rgb="FF00CCFF"/>
      </patternFill>
    </fill>
    <fill>
      <patternFill patternType="solid">
        <fgColor rgb="FFFFFF99"/>
        <bgColor rgb="FFFFFF99"/>
      </patternFill>
    </fill>
    <fill>
      <patternFill patternType="solid">
        <fgColor rgb="FFDD0806"/>
        <bgColor rgb="FFDD0806"/>
      </patternFill>
    </fill>
    <fill>
      <patternFill patternType="solid">
        <fgColor rgb="FF4600A5"/>
        <bgColor rgb="FF4600A5"/>
      </patternFill>
    </fill>
    <fill>
      <patternFill patternType="solid">
        <fgColor rgb="FF99CCFF"/>
        <bgColor rgb="FF99CCFF"/>
      </patternFill>
    </fill>
    <fill>
      <patternFill patternType="solid">
        <fgColor rgb="FF00ABEA"/>
        <bgColor rgb="FF00ABEA"/>
      </patternFill>
    </fill>
    <fill>
      <patternFill patternType="solid">
        <fgColor rgb="FF0000D4"/>
        <bgColor rgb="FF0000D4"/>
      </patternFill>
    </fill>
    <fill>
      <patternFill patternType="solid">
        <fgColor rgb="FF4A86E8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3C78D8"/>
        <bgColor rgb="FF3C78D8"/>
      </patternFill>
    </fill>
    <fill>
      <patternFill patternType="solid">
        <fgColor rgb="FF1C458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D5A6BD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E8D5E0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D5E8D4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E8D5E8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E6B8AF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555555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E2D0F0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E6D8C3"/>
        <bgColor indexed="64"/>
      </patternFill>
    </fill>
    <fill>
      <patternFill patternType="solid">
        <fgColor rgb="FF8B4513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3A5F"/>
        <bgColor indexed="64"/>
      </patternFill>
    </fill>
    <fill>
      <patternFill patternType="solid">
        <fgColor rgb="FF5C2D91"/>
        <bgColor indexed="64"/>
      </patternFill>
    </fill>
    <fill>
      <patternFill patternType="solid">
        <fgColor rgb="FFE5D6F2"/>
        <bgColor indexed="64"/>
      </patternFill>
    </fill>
  </fills>
  <borders count="6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/>
      <bottom/>
      <diagonal/>
    </border>
    <border>
      <left/>
      <right/>
      <top/>
      <bottom/>
      <diagonal/>
    </border>
    <border>
      <left style="thin">
        <color rgb="FFAAAAAA"/>
      </left>
      <right/>
      <top/>
      <bottom style="thin">
        <color rgb="FFAAAAAA"/>
      </bottom>
      <diagonal/>
    </border>
    <border>
      <left/>
      <right/>
      <top/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/>
      <top/>
      <bottom/>
      <diagonal/>
    </border>
    <border>
      <left/>
      <right/>
      <top/>
      <bottom/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rgb="FFAAAAAA"/>
      </right>
      <top/>
      <bottom/>
      <diagonal/>
    </border>
  </borders>
  <cellStyleXfs count="2">
    <xf numFmtId="0" fontId="19" fillId="0" borderId="26"/>
    <xf numFmtId="0" fontId="19" fillId="0" borderId="26"/>
  </cellStyleXfs>
  <cellXfs count="852">
    <xf numFmtId="0" fontId="0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" fillId="3" borderId="3" pivotButton="0" quotePrefix="0" xfId="0"/>
    <xf numFmtId="0" fontId="1" fillId="4" borderId="4" applyAlignment="1" pivotButton="0" quotePrefix="0" xfId="0">
      <alignment horizontal="left"/>
    </xf>
    <xf numFmtId="0" fontId="1" fillId="5" borderId="4" applyAlignment="1" pivotButton="0" quotePrefix="0" xfId="0">
      <alignment horizontal="left"/>
    </xf>
    <xf numFmtId="0" fontId="1" fillId="6" borderId="4" applyAlignment="1" pivotButton="0" quotePrefix="0" xfId="0">
      <alignment horizontal="left"/>
    </xf>
    <xf numFmtId="0" fontId="1" fillId="7" borderId="4" applyAlignment="1" pivotButton="0" quotePrefix="0" xfId="0">
      <alignment horizontal="left"/>
    </xf>
    <xf numFmtId="0" fontId="1" fillId="8" borderId="4" applyAlignment="1" pivotButton="0" quotePrefix="0" xfId="0">
      <alignment horizontal="left"/>
    </xf>
    <xf numFmtId="0" fontId="1" fillId="9" borderId="4" applyAlignment="1" pivotButton="0" quotePrefix="0" xfId="0">
      <alignment horizontal="left"/>
    </xf>
    <xf numFmtId="0" fontId="1" fillId="10" borderId="4" applyAlignment="1" pivotButton="0" quotePrefix="0" xfId="0">
      <alignment horizontal="left"/>
    </xf>
    <xf numFmtId="0" fontId="1" fillId="11" borderId="4" applyAlignment="1" pivotButton="0" quotePrefix="0" xfId="0">
      <alignment horizontal="left"/>
    </xf>
    <xf numFmtId="0" fontId="1" fillId="11" borderId="5" applyAlignment="1" pivotButton="0" quotePrefix="0" xfId="0">
      <alignment horizontal="left"/>
    </xf>
    <xf numFmtId="0" fontId="1" fillId="3" borderId="0" applyAlignment="1" pivotButton="0" quotePrefix="0" xfId="0">
      <alignment horizontal="left"/>
    </xf>
    <xf numFmtId="0" fontId="2" fillId="2" borderId="2" applyAlignment="1" pivotButton="0" quotePrefix="0" xfId="0">
      <alignment horizontal="center" wrapText="1"/>
    </xf>
    <xf numFmtId="0" fontId="2" fillId="3" borderId="6" pivotButton="0" quotePrefix="0" xfId="0"/>
    <xf numFmtId="0" fontId="3" fillId="3" borderId="0" applyAlignment="1" pivotButton="0" quotePrefix="0" xfId="0">
      <alignment horizontal="center" wrapText="1"/>
    </xf>
    <xf numFmtId="0" fontId="3" fillId="3" borderId="0" applyAlignment="1" pivotButton="0" quotePrefix="0" xfId="0">
      <alignment horizontal="left"/>
    </xf>
    <xf numFmtId="0" fontId="3" fillId="3" borderId="7" applyAlignment="1" pivotButton="0" quotePrefix="0" xfId="0">
      <alignment horizontal="left"/>
    </xf>
    <xf numFmtId="2" fontId="2" fillId="2" borderId="2" pivotButton="0" quotePrefix="0" xfId="0"/>
    <xf numFmtId="164" fontId="2" fillId="3" borderId="6" pivotButton="0" quotePrefix="0" xfId="0"/>
    <xf numFmtId="164" fontId="3" fillId="3" borderId="0" applyAlignment="1" pivotButton="0" quotePrefix="0" xfId="0">
      <alignment horizontal="left"/>
    </xf>
    <xf numFmtId="164" fontId="3" fillId="3" borderId="7" applyAlignment="1" pivotButton="0" quotePrefix="0" xfId="0">
      <alignment horizontal="left"/>
    </xf>
    <xf numFmtId="164" fontId="2" fillId="3" borderId="0" applyAlignment="1" pivotButton="0" quotePrefix="0" xfId="0">
      <alignment horizontal="left"/>
    </xf>
    <xf numFmtId="0" fontId="2" fillId="12" borderId="6" pivotButton="0" quotePrefix="0" xfId="0"/>
    <xf numFmtId="0" fontId="3" fillId="12" borderId="0" applyAlignment="1" pivotButton="0" quotePrefix="0" xfId="0">
      <alignment horizontal="left"/>
    </xf>
    <xf numFmtId="0" fontId="3" fillId="12" borderId="7" applyAlignment="1" pivotButton="0" quotePrefix="0" xfId="0">
      <alignment horizontal="left"/>
    </xf>
    <xf numFmtId="164" fontId="2" fillId="12" borderId="6" pivotButton="0" quotePrefix="0" xfId="0"/>
    <xf numFmtId="164" fontId="3" fillId="12" borderId="0" applyAlignment="1" pivotButton="0" quotePrefix="0" xfId="0">
      <alignment horizontal="left"/>
    </xf>
    <xf numFmtId="164" fontId="3" fillId="12" borderId="7" applyAlignment="1" pivotButton="0" quotePrefix="0" xfId="0">
      <alignment horizontal="left"/>
    </xf>
    <xf numFmtId="0" fontId="2" fillId="13" borderId="6" pivotButton="0" quotePrefix="0" xfId="0"/>
    <xf numFmtId="0" fontId="3" fillId="13" borderId="0" applyAlignment="1" pivotButton="0" quotePrefix="0" xfId="0">
      <alignment horizontal="left"/>
    </xf>
    <xf numFmtId="0" fontId="3" fillId="13" borderId="7" applyAlignment="1" pivotButton="0" quotePrefix="0" xfId="0">
      <alignment horizontal="left"/>
    </xf>
    <xf numFmtId="164" fontId="2" fillId="13" borderId="6" pivotButton="0" quotePrefix="0" xfId="0"/>
    <xf numFmtId="164" fontId="3" fillId="13" borderId="0" applyAlignment="1" pivotButton="0" quotePrefix="0" xfId="0">
      <alignment horizontal="left"/>
    </xf>
    <xf numFmtId="164" fontId="3" fillId="13" borderId="7" applyAlignment="1" pivotButton="0" quotePrefix="0" xfId="0">
      <alignment horizontal="left"/>
    </xf>
    <xf numFmtId="0" fontId="2" fillId="14" borderId="6" pivotButton="0" quotePrefix="0" xfId="0"/>
    <xf numFmtId="0" fontId="3" fillId="14" borderId="0" applyAlignment="1" pivotButton="0" quotePrefix="0" xfId="0">
      <alignment horizontal="left"/>
    </xf>
    <xf numFmtId="0" fontId="3" fillId="14" borderId="7" applyAlignment="1" pivotButton="0" quotePrefix="0" xfId="0">
      <alignment horizontal="left"/>
    </xf>
    <xf numFmtId="164" fontId="2" fillId="14" borderId="6" pivotButton="0" quotePrefix="0" xfId="0"/>
    <xf numFmtId="164" fontId="3" fillId="14" borderId="0" applyAlignment="1" pivotButton="0" quotePrefix="0" xfId="0">
      <alignment horizontal="left"/>
    </xf>
    <xf numFmtId="164" fontId="3" fillId="14" borderId="7" applyAlignment="1" pivotButton="0" quotePrefix="0" xfId="0">
      <alignment horizontal="left"/>
    </xf>
    <xf numFmtId="0" fontId="2" fillId="15" borderId="6" pivotButton="0" quotePrefix="0" xfId="0"/>
    <xf numFmtId="0" fontId="3" fillId="15" borderId="0" applyAlignment="1" pivotButton="0" quotePrefix="0" xfId="0">
      <alignment horizontal="left"/>
    </xf>
    <xf numFmtId="0" fontId="3" fillId="15" borderId="7" applyAlignment="1" pivotButton="0" quotePrefix="0" xfId="0">
      <alignment horizontal="left"/>
    </xf>
    <xf numFmtId="164" fontId="3" fillId="15" borderId="0" applyAlignment="1" pivotButton="0" quotePrefix="0" xfId="0">
      <alignment horizontal="left"/>
    </xf>
    <xf numFmtId="164" fontId="3" fillId="15" borderId="7" applyAlignment="1" pivotButton="0" quotePrefix="0" xfId="0">
      <alignment horizontal="left"/>
    </xf>
    <xf numFmtId="0" fontId="2" fillId="16" borderId="6" pivotButton="0" quotePrefix="0" xfId="0"/>
    <xf numFmtId="0" fontId="3" fillId="16" borderId="0" applyAlignment="1" pivotButton="0" quotePrefix="0" xfId="0">
      <alignment horizontal="left"/>
    </xf>
    <xf numFmtId="0" fontId="3" fillId="16" borderId="7" applyAlignment="1" pivotButton="0" quotePrefix="0" xfId="0">
      <alignment horizontal="left"/>
    </xf>
    <xf numFmtId="164" fontId="2" fillId="16" borderId="6" pivotButton="0" quotePrefix="0" xfId="0"/>
    <xf numFmtId="164" fontId="3" fillId="16" borderId="0" applyAlignment="1" pivotButton="0" quotePrefix="0" xfId="0">
      <alignment horizontal="left"/>
    </xf>
    <xf numFmtId="164" fontId="3" fillId="16" borderId="7" applyAlignment="1" pivotButton="0" quotePrefix="0" xfId="0">
      <alignment horizontal="left"/>
    </xf>
    <xf numFmtId="0" fontId="2" fillId="17" borderId="6" pivotButton="0" quotePrefix="0" xfId="0"/>
    <xf numFmtId="0" fontId="3" fillId="17" borderId="0" applyAlignment="1" pivotButton="0" quotePrefix="0" xfId="0">
      <alignment horizontal="left"/>
    </xf>
    <xf numFmtId="0" fontId="3" fillId="17" borderId="7" applyAlignment="1" pivotButton="0" quotePrefix="0" xfId="0">
      <alignment horizontal="left"/>
    </xf>
    <xf numFmtId="0" fontId="2" fillId="2" borderId="2" pivotButton="0" quotePrefix="0" xfId="0"/>
    <xf numFmtId="164" fontId="2" fillId="17" borderId="11" pivotButton="0" quotePrefix="0" xfId="0"/>
    <xf numFmtId="164" fontId="3" fillId="17" borderId="12" applyAlignment="1" pivotButton="0" quotePrefix="0" xfId="0">
      <alignment horizontal="left"/>
    </xf>
    <xf numFmtId="164" fontId="3" fillId="17" borderId="13" applyAlignment="1" pivotButton="0" quotePrefix="0" xfId="0">
      <alignment horizontal="left"/>
    </xf>
    <xf numFmtId="164" fontId="2" fillId="3" borderId="0" applyAlignment="1" pivotButton="0" quotePrefix="0" xfId="0">
      <alignment horizontal="left" wrapText="1"/>
    </xf>
    <xf numFmtId="164" fontId="2" fillId="3" borderId="0" applyAlignment="1" pivotButton="0" quotePrefix="0" xfId="0">
      <alignment horizontal="center" vertical="center" wrapText="1"/>
    </xf>
    <xf numFmtId="0" fontId="2" fillId="3" borderId="0" pivotButton="0" quotePrefix="0" xfId="0"/>
    <xf numFmtId="164" fontId="2" fillId="3" borderId="0" pivotButton="0" quotePrefix="0" xfId="0"/>
    <xf numFmtId="2" fontId="2" fillId="9" borderId="1" pivotButton="0" quotePrefix="0" xfId="0"/>
    <xf numFmtId="2" fontId="2" fillId="18" borderId="1" pivotButton="0" quotePrefix="0" xfId="0"/>
    <xf numFmtId="2" fontId="2" fillId="4" borderId="1" applyAlignment="1" pivotButton="0" quotePrefix="0" xfId="0">
      <alignment horizontal="left"/>
    </xf>
    <xf numFmtId="2" fontId="2" fillId="5" borderId="1" applyAlignment="1" pivotButton="0" quotePrefix="0" xfId="0">
      <alignment horizontal="left"/>
    </xf>
    <xf numFmtId="2" fontId="2" fillId="6" borderId="1" applyAlignment="1" pivotButton="0" quotePrefix="0" xfId="0">
      <alignment horizontal="left"/>
    </xf>
    <xf numFmtId="2" fontId="2" fillId="7" borderId="1" applyAlignment="1" pivotButton="0" quotePrefix="0" xfId="0">
      <alignment horizontal="left"/>
    </xf>
    <xf numFmtId="2" fontId="2" fillId="8" borderId="1" applyAlignment="1" pivotButton="0" quotePrefix="0" xfId="0">
      <alignment horizontal="left"/>
    </xf>
    <xf numFmtId="2" fontId="2" fillId="9" borderId="1" applyAlignment="1" pivotButton="0" quotePrefix="0" xfId="0">
      <alignment horizontal="left"/>
    </xf>
    <xf numFmtId="2" fontId="2" fillId="10" borderId="1" applyAlignment="1" pivotButton="0" quotePrefix="0" xfId="0">
      <alignment horizontal="left"/>
    </xf>
    <xf numFmtId="2" fontId="2" fillId="11" borderId="1" applyAlignment="1" pivotButton="0" quotePrefix="0" xfId="0">
      <alignment horizontal="left"/>
    </xf>
    <xf numFmtId="2" fontId="2" fillId="3" borderId="0" applyAlignment="1" pivotButton="0" quotePrefix="0" xfId="0">
      <alignment horizontal="left"/>
    </xf>
    <xf numFmtId="49" fontId="2" fillId="4" borderId="1" applyAlignment="1" pivotButton="0" quotePrefix="0" xfId="0">
      <alignment horizontal="left"/>
    </xf>
    <xf numFmtId="49" fontId="2" fillId="5" borderId="1" applyAlignment="1" pivotButton="0" quotePrefix="0" xfId="0">
      <alignment horizontal="left"/>
    </xf>
    <xf numFmtId="49" fontId="2" fillId="6" borderId="1" applyAlignment="1" pivotButton="0" quotePrefix="0" xfId="0">
      <alignment horizontal="left"/>
    </xf>
    <xf numFmtId="49" fontId="2" fillId="7" borderId="1" applyAlignment="1" pivotButton="0" quotePrefix="0" xfId="0">
      <alignment horizontal="left"/>
    </xf>
    <xf numFmtId="49" fontId="2" fillId="8" borderId="1" applyAlignment="1" pivotButton="0" quotePrefix="0" xfId="0">
      <alignment horizontal="left"/>
    </xf>
    <xf numFmtId="49" fontId="2" fillId="9" borderId="1" applyAlignment="1" pivotButton="0" quotePrefix="0" xfId="0">
      <alignment horizontal="left"/>
    </xf>
    <xf numFmtId="49" fontId="2" fillId="10" borderId="1" applyAlignment="1" pivotButton="0" quotePrefix="0" xfId="0">
      <alignment horizontal="left"/>
    </xf>
    <xf numFmtId="49" fontId="2" fillId="11" borderId="1" applyAlignment="1" pivotButton="0" quotePrefix="0" xfId="0">
      <alignment horizontal="left"/>
    </xf>
    <xf numFmtId="165" fontId="2" fillId="5" borderId="1" applyAlignment="1" pivotButton="0" quotePrefix="0" xfId="0">
      <alignment horizontal="left"/>
    </xf>
    <xf numFmtId="165" fontId="2" fillId="7" borderId="1" applyAlignment="1" pivotButton="0" quotePrefix="0" xfId="0">
      <alignment horizontal="left"/>
    </xf>
    <xf numFmtId="165" fontId="2" fillId="8" borderId="1" applyAlignment="1" pivotButton="0" quotePrefix="0" xfId="0">
      <alignment horizontal="left"/>
    </xf>
    <xf numFmtId="165" fontId="2" fillId="9" borderId="1" applyAlignment="1" pivotButton="0" quotePrefix="0" xfId="0">
      <alignment horizontal="left"/>
    </xf>
    <xf numFmtId="165" fontId="2" fillId="10" borderId="1" applyAlignment="1" pivotButton="0" quotePrefix="0" xfId="0">
      <alignment horizontal="left"/>
    </xf>
    <xf numFmtId="165" fontId="2" fillId="11" borderId="1" applyAlignment="1" pivotButton="0" quotePrefix="0" xfId="0">
      <alignment horizontal="left"/>
    </xf>
    <xf numFmtId="165" fontId="2" fillId="6" borderId="1" applyAlignment="1" pivotButton="0" quotePrefix="0" xfId="0">
      <alignment horizontal="left"/>
    </xf>
    <xf numFmtId="0" fontId="2" fillId="9" borderId="1" pivotButton="0" quotePrefix="0" xfId="0"/>
    <xf numFmtId="0" fontId="2" fillId="18" borderId="1" pivotButton="0" quotePrefix="0" xfId="0"/>
    <xf numFmtId="0" fontId="2" fillId="19" borderId="1" pivotButton="0" quotePrefix="0" xfId="0"/>
    <xf numFmtId="166" fontId="2" fillId="4" borderId="1" applyAlignment="1" pivotButton="0" quotePrefix="0" xfId="0">
      <alignment horizontal="left"/>
    </xf>
    <xf numFmtId="166" fontId="2" fillId="5" borderId="1" applyAlignment="1" pivotButton="0" quotePrefix="0" xfId="0">
      <alignment horizontal="left"/>
    </xf>
    <xf numFmtId="166" fontId="2" fillId="6" borderId="1" applyAlignment="1" pivotButton="0" quotePrefix="0" xfId="0">
      <alignment horizontal="left"/>
    </xf>
    <xf numFmtId="166" fontId="2" fillId="7" borderId="1" applyAlignment="1" pivotButton="0" quotePrefix="0" xfId="0">
      <alignment horizontal="left"/>
    </xf>
    <xf numFmtId="166" fontId="2" fillId="8" borderId="1" applyAlignment="1" pivotButton="0" quotePrefix="0" xfId="0">
      <alignment horizontal="left"/>
    </xf>
    <xf numFmtId="166" fontId="2" fillId="9" borderId="1" applyAlignment="1" pivotButton="0" quotePrefix="0" xfId="0">
      <alignment horizontal="left"/>
    </xf>
    <xf numFmtId="166" fontId="2" fillId="10" borderId="1" applyAlignment="1" pivotButton="0" quotePrefix="0" xfId="0">
      <alignment horizontal="left"/>
    </xf>
    <xf numFmtId="166" fontId="2" fillId="11" borderId="1" applyAlignment="1" pivotButton="0" quotePrefix="0" xfId="0">
      <alignment horizontal="left"/>
    </xf>
    <xf numFmtId="0" fontId="2" fillId="9" borderId="0" pivotButton="0" quotePrefix="0" xfId="0"/>
    <xf numFmtId="0" fontId="2" fillId="20" borderId="1" pivotButton="0" quotePrefix="0" xfId="0"/>
    <xf numFmtId="165" fontId="2" fillId="4" borderId="1" applyAlignment="1" pivotButton="0" quotePrefix="0" xfId="0">
      <alignment horizontal="left"/>
    </xf>
    <xf numFmtId="165" fontId="2" fillId="9" borderId="1" pivotButton="0" quotePrefix="0" xfId="0"/>
    <xf numFmtId="165" fontId="2" fillId="20" borderId="1" pivotButton="0" quotePrefix="0" xfId="0"/>
    <xf numFmtId="165" fontId="2" fillId="3" borderId="0" applyAlignment="1" pivotButton="0" quotePrefix="0" xfId="0">
      <alignment horizontal="left"/>
    </xf>
    <xf numFmtId="0" fontId="2" fillId="4" borderId="1" applyAlignment="1" pivotButton="0" quotePrefix="0" xfId="0">
      <alignment horizontal="left"/>
    </xf>
    <xf numFmtId="0" fontId="2" fillId="5" borderId="1" applyAlignment="1" pivotButton="0" quotePrefix="0" xfId="0">
      <alignment horizontal="left"/>
    </xf>
    <xf numFmtId="0" fontId="2" fillId="6" borderId="1" applyAlignment="1" pivotButton="0" quotePrefix="0" xfId="0">
      <alignment horizontal="left"/>
    </xf>
    <xf numFmtId="0" fontId="2" fillId="7" borderId="1" applyAlignment="1" pivotButton="0" quotePrefix="0" xfId="0">
      <alignment horizontal="left"/>
    </xf>
    <xf numFmtId="0" fontId="2" fillId="8" borderId="1" applyAlignment="1" pivotButton="0" quotePrefix="0" xfId="0">
      <alignment horizontal="left"/>
    </xf>
    <xf numFmtId="0" fontId="2" fillId="9" borderId="1" applyAlignment="1" pivotButton="0" quotePrefix="0" xfId="0">
      <alignment horizontal="left"/>
    </xf>
    <xf numFmtId="0" fontId="2" fillId="10" borderId="1" applyAlignment="1" pivotButton="0" quotePrefix="0" xfId="0">
      <alignment horizontal="left"/>
    </xf>
    <xf numFmtId="0" fontId="2" fillId="11" borderId="1" applyAlignment="1" pivotButton="0" quotePrefix="0" xfId="0">
      <alignment horizontal="left"/>
    </xf>
    <xf numFmtId="165" fontId="2" fillId="5" borderId="1" pivotButton="0" quotePrefix="0" xfId="0"/>
    <xf numFmtId="165" fontId="3" fillId="4" borderId="1" applyAlignment="1" pivotButton="0" quotePrefix="0" xfId="0">
      <alignment horizontal="left"/>
    </xf>
    <xf numFmtId="165" fontId="3" fillId="5" borderId="1" applyAlignment="1" pivotButton="0" quotePrefix="0" xfId="0">
      <alignment horizontal="left"/>
    </xf>
    <xf numFmtId="165" fontId="3" fillId="6" borderId="1" applyAlignment="1" pivotButton="0" quotePrefix="0" xfId="0">
      <alignment horizontal="left"/>
    </xf>
    <xf numFmtId="165" fontId="3" fillId="7" borderId="1" applyAlignment="1" pivotButton="0" quotePrefix="0" xfId="0">
      <alignment horizontal="left"/>
    </xf>
    <xf numFmtId="165" fontId="3" fillId="8" borderId="1" applyAlignment="1" pivotButton="0" quotePrefix="0" xfId="0">
      <alignment horizontal="left"/>
    </xf>
    <xf numFmtId="165" fontId="3" fillId="9" borderId="1" applyAlignment="1" pivotButton="0" quotePrefix="0" xfId="0">
      <alignment horizontal="left"/>
    </xf>
    <xf numFmtId="165" fontId="3" fillId="10" borderId="1" applyAlignment="1" pivotButton="0" quotePrefix="0" xfId="0">
      <alignment horizontal="left"/>
    </xf>
    <xf numFmtId="165" fontId="3" fillId="11" borderId="1" applyAlignment="1" pivotButton="0" quotePrefix="0" xfId="0">
      <alignment horizontal="left"/>
    </xf>
    <xf numFmtId="165" fontId="2" fillId="21" borderId="1" pivotButton="0" quotePrefix="0" xfId="0"/>
    <xf numFmtId="165" fontId="2" fillId="22" borderId="1" pivotButton="0" quotePrefix="0" xfId="0"/>
    <xf numFmtId="165" fontId="2" fillId="6" borderId="1" pivotButton="0" quotePrefix="0" xfId="0"/>
    <xf numFmtId="165" fontId="2" fillId="18" borderId="1" pivotButton="0" quotePrefix="0" xfId="0"/>
    <xf numFmtId="165" fontId="2" fillId="23" borderId="1" pivotButton="0" quotePrefix="0" xfId="0"/>
    <xf numFmtId="0" fontId="2" fillId="3" borderId="0" applyAlignment="1" pivotButton="0" quotePrefix="0" xfId="0">
      <alignment vertical="center" wrapText="1"/>
    </xf>
    <xf numFmtId="2" fontId="2" fillId="3" borderId="0" pivotButton="0" quotePrefix="0" xfId="0"/>
    <xf numFmtId="2" fontId="2" fillId="2" borderId="1" pivotButton="0" quotePrefix="0" xfId="0"/>
    <xf numFmtId="2" fontId="2" fillId="24" borderId="1" pivotButton="0" quotePrefix="0" xfId="0"/>
    <xf numFmtId="0" fontId="2" fillId="2" borderId="1" pivotButton="0" quotePrefix="0" xfId="0"/>
    <xf numFmtId="0" fontId="2" fillId="24" borderId="1" pivotButton="0" quotePrefix="0" xfId="0"/>
    <xf numFmtId="165" fontId="2" fillId="2" borderId="1" pivotButton="0" quotePrefix="0" xfId="0"/>
    <xf numFmtId="165" fontId="2" fillId="25" borderId="1" pivotButton="0" quotePrefix="0" xfId="0"/>
    <xf numFmtId="2" fontId="2" fillId="5" borderId="1" pivotButton="0" quotePrefix="0" xfId="0"/>
    <xf numFmtId="2" fontId="2" fillId="21" borderId="1" pivotButton="0" quotePrefix="0" xfId="0"/>
    <xf numFmtId="2" fontId="2" fillId="22" borderId="1" pivotButton="0" quotePrefix="0" xfId="0"/>
    <xf numFmtId="2" fontId="2" fillId="6" borderId="1" pivotButton="0" quotePrefix="0" xfId="0"/>
    <xf numFmtId="2" fontId="2" fillId="23" borderId="1" pivotButton="0" quotePrefix="0" xfId="0"/>
    <xf numFmtId="0" fontId="4" fillId="2" borderId="1" pivotButton="0" quotePrefix="0" xfId="0"/>
    <xf numFmtId="0" fontId="4" fillId="26" borderId="1" pivotButton="0" quotePrefix="0" xfId="0"/>
    <xf numFmtId="2" fontId="4" fillId="4" borderId="1" applyAlignment="1" pivotButton="0" quotePrefix="0" xfId="0">
      <alignment horizontal="left"/>
    </xf>
    <xf numFmtId="2" fontId="4" fillId="5" borderId="1" applyAlignment="1" pivotButton="0" quotePrefix="0" xfId="0">
      <alignment horizontal="left"/>
    </xf>
    <xf numFmtId="2" fontId="4" fillId="6" borderId="1" applyAlignment="1" pivotButton="0" quotePrefix="0" xfId="0">
      <alignment horizontal="left"/>
    </xf>
    <xf numFmtId="2" fontId="4" fillId="7" borderId="1" applyAlignment="1" pivotButton="0" quotePrefix="0" xfId="0">
      <alignment horizontal="left"/>
    </xf>
    <xf numFmtId="2" fontId="4" fillId="8" borderId="1" applyAlignment="1" pivotButton="0" quotePrefix="0" xfId="0">
      <alignment horizontal="left"/>
    </xf>
    <xf numFmtId="2" fontId="4" fillId="9" borderId="1" applyAlignment="1" pivotButton="0" quotePrefix="0" xfId="0">
      <alignment horizontal="left"/>
    </xf>
    <xf numFmtId="2" fontId="4" fillId="10" borderId="1" applyAlignment="1" pivotButton="0" quotePrefix="0" xfId="0">
      <alignment horizontal="left"/>
    </xf>
    <xf numFmtId="2" fontId="4" fillId="11" borderId="1" applyAlignment="1" pivotButton="0" quotePrefix="0" xfId="0">
      <alignment horizontal="left"/>
    </xf>
    <xf numFmtId="2" fontId="2" fillId="27" borderId="10" pivotButton="0" quotePrefix="0" xfId="0"/>
    <xf numFmtId="2" fontId="3" fillId="4" borderId="10" applyAlignment="1" pivotButton="0" quotePrefix="0" xfId="0">
      <alignment horizontal="left"/>
    </xf>
    <xf numFmtId="2" fontId="3" fillId="5" borderId="10" applyAlignment="1" pivotButton="0" quotePrefix="0" xfId="0">
      <alignment horizontal="left"/>
    </xf>
    <xf numFmtId="2" fontId="3" fillId="6" borderId="10" applyAlignment="1" pivotButton="0" quotePrefix="0" xfId="0">
      <alignment horizontal="left"/>
    </xf>
    <xf numFmtId="2" fontId="3" fillId="7" borderId="10" applyAlignment="1" pivotButton="0" quotePrefix="0" xfId="0">
      <alignment horizontal="left"/>
    </xf>
    <xf numFmtId="2" fontId="3" fillId="8" borderId="10" applyAlignment="1" pivotButton="0" quotePrefix="0" xfId="0">
      <alignment horizontal="left"/>
    </xf>
    <xf numFmtId="2" fontId="3" fillId="9" borderId="10" applyAlignment="1" pivotButton="0" quotePrefix="0" xfId="0">
      <alignment horizontal="left"/>
    </xf>
    <xf numFmtId="2" fontId="3" fillId="10" borderId="10" applyAlignment="1" pivotButton="0" quotePrefix="0" xfId="0">
      <alignment horizontal="left"/>
    </xf>
    <xf numFmtId="2" fontId="3" fillId="11" borderId="10" applyAlignment="1" pivotButton="0" quotePrefix="0" xfId="0">
      <alignment horizontal="left"/>
    </xf>
    <xf numFmtId="0" fontId="2" fillId="27" borderId="1" pivotButton="0" quotePrefix="0" xfId="0"/>
    <xf numFmtId="2" fontId="3" fillId="4" borderId="1" applyAlignment="1" pivotButton="0" quotePrefix="0" xfId="0">
      <alignment horizontal="left"/>
    </xf>
    <xf numFmtId="2" fontId="3" fillId="5" borderId="1" applyAlignment="1" pivotButton="0" quotePrefix="0" xfId="0">
      <alignment horizontal="left"/>
    </xf>
    <xf numFmtId="2" fontId="3" fillId="6" borderId="1" applyAlignment="1" pivotButton="0" quotePrefix="0" xfId="0">
      <alignment horizontal="left"/>
    </xf>
    <xf numFmtId="2" fontId="3" fillId="7" borderId="1" applyAlignment="1" pivotButton="0" quotePrefix="0" xfId="0">
      <alignment horizontal="left"/>
    </xf>
    <xf numFmtId="2" fontId="3" fillId="8" borderId="1" applyAlignment="1" pivotButton="0" quotePrefix="0" xfId="0">
      <alignment horizontal="left"/>
    </xf>
    <xf numFmtId="2" fontId="3" fillId="9" borderId="1" applyAlignment="1" pivotButton="0" quotePrefix="0" xfId="0">
      <alignment horizontal="left"/>
    </xf>
    <xf numFmtId="2" fontId="3" fillId="10" borderId="1" applyAlignment="1" pivotButton="0" quotePrefix="0" xfId="0">
      <alignment horizontal="left"/>
    </xf>
    <xf numFmtId="2" fontId="3" fillId="11" borderId="1" applyAlignment="1" pivotButton="0" quotePrefix="0" xfId="0">
      <alignment horizontal="left"/>
    </xf>
    <xf numFmtId="0" fontId="2" fillId="3" borderId="0" applyAlignment="1" pivotButton="0" quotePrefix="0" xfId="0">
      <alignment horizontal="left"/>
    </xf>
    <xf numFmtId="2" fontId="2" fillId="27" borderId="1" pivotButton="0" quotePrefix="0" xfId="0"/>
    <xf numFmtId="2" fontId="3" fillId="27" borderId="1" applyAlignment="1" pivotButton="0" quotePrefix="0" xfId="0">
      <alignment horizontal="left"/>
    </xf>
    <xf numFmtId="0" fontId="3" fillId="4" borderId="1" applyAlignment="1" pivotButton="0" quotePrefix="0" xfId="0">
      <alignment horizontal="left"/>
    </xf>
    <xf numFmtId="0" fontId="3" fillId="5" borderId="1" applyAlignment="1" pivotButton="0" quotePrefix="0" xfId="0">
      <alignment horizontal="left"/>
    </xf>
    <xf numFmtId="0" fontId="3" fillId="6" borderId="1" applyAlignment="1" pivotButton="0" quotePrefix="0" xfId="0">
      <alignment horizontal="left"/>
    </xf>
    <xf numFmtId="0" fontId="3" fillId="7" borderId="1" applyAlignment="1" pivotButton="0" quotePrefix="0" xfId="0">
      <alignment horizontal="left"/>
    </xf>
    <xf numFmtId="0" fontId="3" fillId="8" borderId="1" applyAlignment="1" pivotButton="0" quotePrefix="0" xfId="0">
      <alignment horizontal="left"/>
    </xf>
    <xf numFmtId="0" fontId="3" fillId="9" borderId="1" applyAlignment="1" pivotButton="0" quotePrefix="0" xfId="0">
      <alignment horizontal="left"/>
    </xf>
    <xf numFmtId="0" fontId="3" fillId="10" borderId="1" applyAlignment="1" pivotButton="0" quotePrefix="0" xfId="0">
      <alignment horizontal="left"/>
    </xf>
    <xf numFmtId="0" fontId="3" fillId="11" borderId="1" applyAlignment="1" pivotButton="0" quotePrefix="0" xfId="0">
      <alignment horizontal="left"/>
    </xf>
    <xf numFmtId="0" fontId="4" fillId="3" borderId="0" pivotButton="0" quotePrefix="0" xfId="0"/>
    <xf numFmtId="0" fontId="4" fillId="3" borderId="0" applyAlignment="1" pivotButton="0" quotePrefix="0" xfId="0">
      <alignment horizontal="left"/>
    </xf>
    <xf numFmtId="0" fontId="4" fillId="3" borderId="0" applyAlignment="1" pivotButton="0" quotePrefix="0" xfId="0">
      <alignment vertical="center" wrapText="1"/>
    </xf>
    <xf numFmtId="2" fontId="2" fillId="28" borderId="2" pivotButton="0" quotePrefix="0" xfId="0"/>
    <xf numFmtId="164" fontId="2" fillId="3" borderId="1" pivotButton="0" quotePrefix="0" xfId="0"/>
    <xf numFmtId="164" fontId="3" fillId="3" borderId="1" applyAlignment="1" pivotButton="0" quotePrefix="0" xfId="0">
      <alignment horizontal="left"/>
    </xf>
    <xf numFmtId="164" fontId="2" fillId="12" borderId="1" pivotButton="0" quotePrefix="0" xfId="0"/>
    <xf numFmtId="164" fontId="3" fillId="12" borderId="1" applyAlignment="1" pivotButton="0" quotePrefix="0" xfId="0">
      <alignment horizontal="left"/>
    </xf>
    <xf numFmtId="164" fontId="2" fillId="13" borderId="1" pivotButton="0" quotePrefix="0" xfId="0"/>
    <xf numFmtId="164" fontId="3" fillId="13" borderId="1" applyAlignment="1" pivotButton="0" quotePrefix="0" xfId="0">
      <alignment horizontal="left"/>
    </xf>
    <xf numFmtId="164" fontId="2" fillId="14" borderId="1" pivotButton="0" quotePrefix="0" xfId="0"/>
    <xf numFmtId="164" fontId="3" fillId="14" borderId="1" applyAlignment="1" pivotButton="0" quotePrefix="0" xfId="0">
      <alignment horizontal="left"/>
    </xf>
    <xf numFmtId="0" fontId="2" fillId="15" borderId="1" pivotButton="0" quotePrefix="0" xfId="0"/>
    <xf numFmtId="164" fontId="3" fillId="15" borderId="1" applyAlignment="1" pivotButton="0" quotePrefix="0" xfId="0">
      <alignment horizontal="left"/>
    </xf>
    <xf numFmtId="164" fontId="2" fillId="16" borderId="1" pivotButton="0" quotePrefix="0" xfId="0"/>
    <xf numFmtId="164" fontId="3" fillId="16" borderId="1" applyAlignment="1" pivotButton="0" quotePrefix="0" xfId="0">
      <alignment horizontal="left"/>
    </xf>
    <xf numFmtId="0" fontId="2" fillId="28" borderId="2" pivotButton="0" quotePrefix="0" xfId="0"/>
    <xf numFmtId="164" fontId="2" fillId="17" borderId="1" pivotButton="0" quotePrefix="0" xfId="0"/>
    <xf numFmtId="164" fontId="3" fillId="17" borderId="1" applyAlignment="1" pivotButton="0" quotePrefix="0" xfId="0">
      <alignment horizontal="left"/>
    </xf>
    <xf numFmtId="0" fontId="4" fillId="0" borderId="0" pivotButton="0" quotePrefix="0" xfId="0"/>
    <xf numFmtId="0" fontId="4" fillId="3" borderId="0" applyAlignment="1" pivotButton="0" quotePrefix="0" xfId="0">
      <alignment horizontal="left" wrapText="1"/>
    </xf>
    <xf numFmtId="0" fontId="4" fillId="29" borderId="0" applyAlignment="1" pivotButton="0" quotePrefix="0" xfId="0">
      <alignment horizontal="left"/>
    </xf>
    <xf numFmtId="0" fontId="5" fillId="3" borderId="0" applyAlignment="1" pivotButton="0" quotePrefix="0" xfId="0">
      <alignment horizontal="left"/>
    </xf>
    <xf numFmtId="0" fontId="6" fillId="3" borderId="0" applyAlignment="1" pivotButton="0" quotePrefix="0" xfId="0">
      <alignment horizontal="left"/>
    </xf>
    <xf numFmtId="0" fontId="4" fillId="24" borderId="0" applyAlignment="1" pivotButton="0" quotePrefix="0" xfId="0">
      <alignment horizontal="left"/>
    </xf>
    <xf numFmtId="0" fontId="2" fillId="30" borderId="0" pivotButton="0" quotePrefix="0" xfId="0"/>
    <xf numFmtId="0" fontId="2" fillId="21" borderId="0" applyAlignment="1" pivotButton="0" quotePrefix="0" xfId="0">
      <alignment horizontal="left"/>
    </xf>
    <xf numFmtId="0" fontId="2" fillId="31" borderId="0" applyAlignment="1" pivotButton="0" quotePrefix="0" xfId="0">
      <alignment horizontal="left"/>
    </xf>
    <xf numFmtId="0" fontId="2" fillId="32" borderId="0" applyAlignment="1" pivotButton="0" quotePrefix="0" xfId="0">
      <alignment horizontal="left"/>
    </xf>
    <xf numFmtId="0" fontId="2" fillId="6" borderId="0" applyAlignment="1" pivotButton="0" quotePrefix="0" xfId="0">
      <alignment horizontal="left"/>
    </xf>
    <xf numFmtId="0" fontId="2" fillId="33" borderId="0" applyAlignment="1" pivotButton="0" quotePrefix="0" xfId="0">
      <alignment horizontal="left"/>
    </xf>
    <xf numFmtId="0" fontId="2" fillId="8" borderId="0" applyAlignment="1" pivotButton="0" quotePrefix="0" xfId="0">
      <alignment horizontal="left"/>
    </xf>
    <xf numFmtId="0" fontId="2" fillId="10" borderId="0" applyAlignment="1" pivotButton="0" quotePrefix="0" xfId="0">
      <alignment horizontal="left"/>
    </xf>
    <xf numFmtId="0" fontId="2" fillId="34" borderId="0" applyAlignment="1" pivotButton="0" quotePrefix="0" xfId="0">
      <alignment horizontal="left"/>
    </xf>
    <xf numFmtId="0" fontId="2" fillId="7" borderId="0" applyAlignment="1" pivotButton="0" quotePrefix="0" xfId="0">
      <alignment horizontal="left"/>
    </xf>
    <xf numFmtId="0" fontId="2" fillId="9" borderId="0" applyAlignment="1" pivotButton="0" quotePrefix="0" xfId="0">
      <alignment horizontal="left"/>
    </xf>
    <xf numFmtId="2" fontId="2" fillId="27" borderId="0" pivotButton="0" quotePrefix="0" xfId="0"/>
    <xf numFmtId="2" fontId="2" fillId="24" borderId="0" pivotButton="0" quotePrefix="0" xfId="0"/>
    <xf numFmtId="2" fontId="2" fillId="21" borderId="0" applyAlignment="1" pivotButton="0" quotePrefix="0" xfId="0">
      <alignment horizontal="left"/>
    </xf>
    <xf numFmtId="2" fontId="2" fillId="31" borderId="0" applyAlignment="1" pivotButton="0" quotePrefix="0" xfId="0">
      <alignment horizontal="left"/>
    </xf>
    <xf numFmtId="2" fontId="2" fillId="32" borderId="0" applyAlignment="1" pivotButton="0" quotePrefix="0" xfId="0">
      <alignment horizontal="left"/>
    </xf>
    <xf numFmtId="2" fontId="2" fillId="6" borderId="0" applyAlignment="1" pivotButton="0" quotePrefix="0" xfId="0">
      <alignment horizontal="left"/>
    </xf>
    <xf numFmtId="2" fontId="2" fillId="33" borderId="0" applyAlignment="1" pivotButton="0" quotePrefix="0" xfId="0">
      <alignment horizontal="left"/>
    </xf>
    <xf numFmtId="2" fontId="2" fillId="8" borderId="0" applyAlignment="1" pivotButton="0" quotePrefix="0" xfId="0">
      <alignment horizontal="left"/>
    </xf>
    <xf numFmtId="2" fontId="2" fillId="10" borderId="0" applyAlignment="1" pivotButton="0" quotePrefix="0" xfId="0">
      <alignment horizontal="left"/>
    </xf>
    <xf numFmtId="2" fontId="2" fillId="34" borderId="0" applyAlignment="1" pivotButton="0" quotePrefix="0" xfId="0">
      <alignment horizontal="left"/>
    </xf>
    <xf numFmtId="2" fontId="2" fillId="7" borderId="0" applyAlignment="1" pivotButton="0" quotePrefix="0" xfId="0">
      <alignment horizontal="left"/>
    </xf>
    <xf numFmtId="2" fontId="2" fillId="9" borderId="0" applyAlignment="1" pivotButton="0" quotePrefix="0" xfId="0">
      <alignment horizontal="left"/>
    </xf>
    <xf numFmtId="165" fontId="2" fillId="7" borderId="0" applyAlignment="1" pivotButton="0" quotePrefix="0" xfId="0">
      <alignment horizontal="left"/>
    </xf>
    <xf numFmtId="165" fontId="2" fillId="9" borderId="0" applyAlignment="1" pivotButton="0" quotePrefix="0" xfId="0">
      <alignment horizontal="left"/>
    </xf>
    <xf numFmtId="0" fontId="2" fillId="27" borderId="0" pivotButton="0" quotePrefix="0" xfId="0"/>
    <xf numFmtId="0" fontId="2" fillId="24" borderId="0" pivotButton="0" quotePrefix="0" xfId="0"/>
    <xf numFmtId="165" fontId="2" fillId="21" borderId="0" applyAlignment="1" pivotButton="0" quotePrefix="0" xfId="0">
      <alignment horizontal="left"/>
    </xf>
    <xf numFmtId="165" fontId="2" fillId="31" borderId="0" applyAlignment="1" pivotButton="0" quotePrefix="0" xfId="0">
      <alignment horizontal="left"/>
    </xf>
    <xf numFmtId="165" fontId="2" fillId="32" borderId="0" applyAlignment="1" pivotButton="0" quotePrefix="0" xfId="0">
      <alignment horizontal="left"/>
    </xf>
    <xf numFmtId="165" fontId="2" fillId="6" borderId="0" applyAlignment="1" pivotButton="0" quotePrefix="0" xfId="0">
      <alignment horizontal="left"/>
    </xf>
    <xf numFmtId="165" fontId="2" fillId="33" borderId="0" applyAlignment="1" pivotButton="0" quotePrefix="0" xfId="0">
      <alignment horizontal="left"/>
    </xf>
    <xf numFmtId="165" fontId="2" fillId="8" borderId="0" applyAlignment="1" pivotButton="0" quotePrefix="0" xfId="0">
      <alignment horizontal="left"/>
    </xf>
    <xf numFmtId="165" fontId="2" fillId="10" borderId="0" applyAlignment="1" pivotButton="0" quotePrefix="0" xfId="0">
      <alignment horizontal="left"/>
    </xf>
    <xf numFmtId="165" fontId="2" fillId="34" borderId="0" applyAlignment="1" pivotButton="0" quotePrefix="0" xfId="0">
      <alignment horizontal="left"/>
    </xf>
    <xf numFmtId="165" fontId="2" fillId="0" borderId="0" applyAlignment="1" pivotButton="0" quotePrefix="0" xfId="0">
      <alignment horizontal="left"/>
    </xf>
    <xf numFmtId="2" fontId="2" fillId="18" borderId="0" pivotButton="0" quotePrefix="0" xfId="0"/>
    <xf numFmtId="2" fontId="2" fillId="0" borderId="0" applyAlignment="1" pivotButton="0" quotePrefix="0" xfId="0">
      <alignment horizontal="left"/>
    </xf>
    <xf numFmtId="0" fontId="2" fillId="18" borderId="0" pivotButton="0" quotePrefix="0" xfId="0"/>
    <xf numFmtId="0" fontId="2" fillId="2" borderId="0" pivotButton="0" quotePrefix="0" xfId="0"/>
    <xf numFmtId="167" fontId="2" fillId="33" borderId="0" applyAlignment="1" pivotButton="0" quotePrefix="0" xfId="0">
      <alignment horizontal="left"/>
    </xf>
    <xf numFmtId="167" fontId="2" fillId="8" borderId="0" applyAlignment="1" pivotButton="0" quotePrefix="0" xfId="0">
      <alignment horizontal="left"/>
    </xf>
    <xf numFmtId="167" fontId="2" fillId="10" borderId="0" applyAlignment="1" pivotButton="0" quotePrefix="0" xfId="0">
      <alignment horizontal="left"/>
    </xf>
    <xf numFmtId="165" fontId="2" fillId="25" borderId="0" pivotButton="0" quotePrefix="0" xfId="0"/>
    <xf numFmtId="165" fontId="2" fillId="20" borderId="0" pivotButton="0" quotePrefix="0" xfId="0"/>
    <xf numFmtId="0" fontId="2" fillId="20" borderId="0" pivotButton="0" quotePrefix="0" xfId="0"/>
    <xf numFmtId="0" fontId="4" fillId="3" borderId="0" applyAlignment="1" pivotButton="0" quotePrefix="0" xfId="0">
      <alignment horizontal="right"/>
    </xf>
    <xf numFmtId="165" fontId="4" fillId="0" borderId="0" pivotButton="0" quotePrefix="0" xfId="0"/>
    <xf numFmtId="0" fontId="4" fillId="2" borderId="0" pivotButton="0" quotePrefix="0" xfId="0"/>
    <xf numFmtId="0" fontId="7" fillId="2" borderId="0" pivotButton="0" quotePrefix="0" xfId="0"/>
    <xf numFmtId="164" fontId="2" fillId="2" borderId="0" pivotButton="0" quotePrefix="0" xfId="0"/>
    <xf numFmtId="0" fontId="2" fillId="12" borderId="0" pivotButton="0" quotePrefix="0" xfId="0"/>
    <xf numFmtId="0" fontId="2" fillId="12" borderId="0" applyAlignment="1" pivotButton="0" quotePrefix="0" xfId="0">
      <alignment horizontal="left"/>
    </xf>
    <xf numFmtId="164" fontId="2" fillId="12" borderId="0" pivotButton="0" quotePrefix="0" xfId="0"/>
    <xf numFmtId="164" fontId="8" fillId="12" borderId="0" applyAlignment="1" pivotButton="0" quotePrefix="0" xfId="0">
      <alignment horizontal="left"/>
    </xf>
    <xf numFmtId="165" fontId="2" fillId="12" borderId="0" pivotButton="0" quotePrefix="0" xfId="0"/>
    <xf numFmtId="165" fontId="2" fillId="2" borderId="0" pivotButton="0" quotePrefix="0" xfId="0"/>
    <xf numFmtId="165" fontId="3" fillId="12" borderId="0" applyAlignment="1" pivotButton="0" quotePrefix="0" xfId="0">
      <alignment horizontal="left"/>
    </xf>
    <xf numFmtId="165" fontId="8" fillId="12" borderId="0" applyAlignment="1" pivotButton="0" quotePrefix="0" xfId="0">
      <alignment horizontal="left"/>
    </xf>
    <xf numFmtId="0" fontId="2" fillId="13" borderId="0" pivotButton="0" quotePrefix="0" xfId="0"/>
    <xf numFmtId="0" fontId="2" fillId="13" borderId="0" applyAlignment="1" pivotButton="0" quotePrefix="0" xfId="0">
      <alignment horizontal="left"/>
    </xf>
    <xf numFmtId="164" fontId="2" fillId="13" borderId="0" pivotButton="0" quotePrefix="0" xfId="0"/>
    <xf numFmtId="164" fontId="8" fillId="13" borderId="0" applyAlignment="1" pivotButton="0" quotePrefix="0" xfId="0">
      <alignment horizontal="left"/>
    </xf>
    <xf numFmtId="165" fontId="2" fillId="13" borderId="0" pivotButton="0" quotePrefix="0" xfId="0"/>
    <xf numFmtId="165" fontId="3" fillId="13" borderId="0" applyAlignment="1" pivotButton="0" quotePrefix="0" xfId="0">
      <alignment horizontal="left"/>
    </xf>
    <xf numFmtId="165" fontId="8" fillId="13" borderId="0" applyAlignment="1" pivotButton="0" quotePrefix="0" xfId="0">
      <alignment horizontal="left"/>
    </xf>
    <xf numFmtId="0" fontId="2" fillId="14" borderId="0" pivotButton="0" quotePrefix="0" xfId="0"/>
    <xf numFmtId="0" fontId="2" fillId="14" borderId="0" applyAlignment="1" pivotButton="0" quotePrefix="0" xfId="0">
      <alignment horizontal="left"/>
    </xf>
    <xf numFmtId="164" fontId="2" fillId="14" borderId="0" pivotButton="0" quotePrefix="0" xfId="0"/>
    <xf numFmtId="164" fontId="8" fillId="14" borderId="0" applyAlignment="1" pivotButton="0" quotePrefix="0" xfId="0">
      <alignment horizontal="left"/>
    </xf>
    <xf numFmtId="165" fontId="2" fillId="14" borderId="0" pivotButton="0" quotePrefix="0" xfId="0"/>
    <xf numFmtId="165" fontId="3" fillId="14" borderId="0" applyAlignment="1" pivotButton="0" quotePrefix="0" xfId="0">
      <alignment horizontal="left"/>
    </xf>
    <xf numFmtId="165" fontId="8" fillId="14" borderId="0" applyAlignment="1" pivotButton="0" quotePrefix="0" xfId="0">
      <alignment horizontal="left"/>
    </xf>
    <xf numFmtId="0" fontId="2" fillId="15" borderId="0" pivotButton="0" quotePrefix="0" xfId="0"/>
    <xf numFmtId="0" fontId="2" fillId="15" borderId="0" applyAlignment="1" pivotButton="0" quotePrefix="0" xfId="0">
      <alignment horizontal="left"/>
    </xf>
    <xf numFmtId="164" fontId="2" fillId="15" borderId="0" applyAlignment="1" pivotButton="0" quotePrefix="0" xfId="0">
      <alignment horizontal="left"/>
    </xf>
    <xf numFmtId="165" fontId="2" fillId="15" borderId="0" pivotButton="0" quotePrefix="0" xfId="0"/>
    <xf numFmtId="165" fontId="2" fillId="15" borderId="0" applyAlignment="1" pivotButton="0" quotePrefix="0" xfId="0">
      <alignment horizontal="left"/>
    </xf>
    <xf numFmtId="0" fontId="2" fillId="16" borderId="0" pivotButton="0" quotePrefix="0" xfId="0"/>
    <xf numFmtId="0" fontId="2" fillId="16" borderId="0" applyAlignment="1" pivotButton="0" quotePrefix="0" xfId="0">
      <alignment horizontal="left"/>
    </xf>
    <xf numFmtId="164" fontId="2" fillId="16" borderId="0" pivotButton="0" quotePrefix="0" xfId="0"/>
    <xf numFmtId="164" fontId="8" fillId="16" borderId="0" applyAlignment="1" pivotButton="0" quotePrefix="0" xfId="0">
      <alignment horizontal="left"/>
    </xf>
    <xf numFmtId="165" fontId="2" fillId="16" borderId="0" pivotButton="0" quotePrefix="0" xfId="0"/>
    <xf numFmtId="165" fontId="3" fillId="16" borderId="0" applyAlignment="1" pivotButton="0" quotePrefix="0" xfId="0">
      <alignment horizontal="left"/>
    </xf>
    <xf numFmtId="165" fontId="8" fillId="16" borderId="0" applyAlignment="1" pivotButton="0" quotePrefix="0" xfId="0">
      <alignment horizontal="left"/>
    </xf>
    <xf numFmtId="0" fontId="2" fillId="17" borderId="0" pivotButton="0" quotePrefix="0" xfId="0"/>
    <xf numFmtId="0" fontId="2" fillId="17" borderId="0" applyAlignment="1" pivotButton="0" quotePrefix="0" xfId="0">
      <alignment horizontal="left"/>
    </xf>
    <xf numFmtId="164" fontId="2" fillId="17" borderId="0" pivotButton="0" quotePrefix="0" xfId="0"/>
    <xf numFmtId="164" fontId="8" fillId="17" borderId="0" applyAlignment="1" pivotButton="0" quotePrefix="0" xfId="0">
      <alignment horizontal="left"/>
    </xf>
    <xf numFmtId="165" fontId="2" fillId="17" borderId="0" pivotButton="0" quotePrefix="0" xfId="0"/>
    <xf numFmtId="165" fontId="3" fillId="17" borderId="0" applyAlignment="1" pivotButton="0" quotePrefix="0" xfId="0">
      <alignment horizontal="left"/>
    </xf>
    <xf numFmtId="165" fontId="8" fillId="17" borderId="0" applyAlignment="1" pivotButton="0" quotePrefix="0" xfId="0">
      <alignment horizontal="left"/>
    </xf>
    <xf numFmtId="165" fontId="2" fillId="3" borderId="0" pivotButton="0" quotePrefix="0" xfId="0"/>
    <xf numFmtId="165" fontId="3" fillId="3" borderId="0" applyAlignment="1" pivotButton="0" quotePrefix="0" xfId="0">
      <alignment horizontal="left"/>
    </xf>
    <xf numFmtId="165" fontId="8" fillId="3" borderId="0" applyAlignment="1" pivotButton="0" quotePrefix="0" xfId="0">
      <alignment horizontal="left"/>
    </xf>
    <xf numFmtId="165" fontId="1" fillId="25" borderId="0" pivotButton="0" quotePrefix="0" xfId="0"/>
    <xf numFmtId="0" fontId="2" fillId="25" borderId="0" pivotButton="0" quotePrefix="0" xfId="0"/>
    <xf numFmtId="164" fontId="2" fillId="25" borderId="0" pivotButton="0" quotePrefix="0" xfId="0"/>
    <xf numFmtId="49" fontId="4" fillId="0" borderId="0" pivotButton="0" quotePrefix="0" xfId="0"/>
    <xf numFmtId="168" fontId="4" fillId="0" borderId="0" pivotButton="0" quotePrefix="0" xfId="0"/>
    <xf numFmtId="14" fontId="4" fillId="0" borderId="0" pivotButton="0" quotePrefix="0" xfId="0"/>
    <xf numFmtId="49" fontId="4" fillId="30" borderId="0" pivotButton="0" quotePrefix="0" xfId="0"/>
    <xf numFmtId="168" fontId="4" fillId="30" borderId="0" pivotButton="0" quotePrefix="0" xfId="0"/>
    <xf numFmtId="0" fontId="4" fillId="30" borderId="0" pivotButton="0" quotePrefix="0" xfId="0"/>
    <xf numFmtId="14" fontId="4" fillId="30" borderId="0" pivotButton="0" quotePrefix="0" xfId="0"/>
    <xf numFmtId="169" fontId="4" fillId="30" borderId="0" pivotButton="0" quotePrefix="0" xfId="0"/>
    <xf numFmtId="170" fontId="4" fillId="30" borderId="0" pivotButton="0" quotePrefix="0" xfId="0"/>
    <xf numFmtId="0" fontId="4" fillId="24" borderId="0" pivotButton="0" quotePrefix="0" xfId="0"/>
    <xf numFmtId="169" fontId="4" fillId="0" borderId="0" pivotButton="0" quotePrefix="0" xfId="0"/>
    <xf numFmtId="170" fontId="4" fillId="0" borderId="0" pivotButton="0" quotePrefix="0" xfId="0"/>
    <xf numFmtId="0" fontId="4" fillId="35" borderId="0" pivotButton="0" quotePrefix="0" xfId="0"/>
    <xf numFmtId="49" fontId="4" fillId="29" borderId="0" pivotButton="0" quotePrefix="0" xfId="0"/>
    <xf numFmtId="168" fontId="4" fillId="29" borderId="0" pivotButton="0" quotePrefix="0" xfId="0"/>
    <xf numFmtId="0" fontId="4" fillId="29" borderId="0" pivotButton="0" quotePrefix="0" xfId="0"/>
    <xf numFmtId="14" fontId="4" fillId="29" borderId="0" pivotButton="0" quotePrefix="0" xfId="0"/>
    <xf numFmtId="169" fontId="4" fillId="29" borderId="0" pivotButton="0" quotePrefix="0" xfId="0"/>
    <xf numFmtId="170" fontId="4" fillId="29" borderId="0" pivotButton="0" quotePrefix="0" xfId="0"/>
    <xf numFmtId="49" fontId="4" fillId="24" borderId="0" pivotButton="0" quotePrefix="0" xfId="0"/>
    <xf numFmtId="168" fontId="4" fillId="24" borderId="0" pivotButton="0" quotePrefix="0" xfId="0"/>
    <xf numFmtId="14" fontId="4" fillId="24" borderId="0" pivotButton="0" quotePrefix="0" xfId="0"/>
    <xf numFmtId="168" fontId="4" fillId="3" borderId="0" pivotButton="0" quotePrefix="0" xfId="0"/>
    <xf numFmtId="0" fontId="0" fillId="3" borderId="0" pivotButton="0" quotePrefix="0" xfId="0"/>
    <xf numFmtId="49" fontId="0" fillId="36" borderId="0" pivotButton="0" quotePrefix="0" xfId="0"/>
    <xf numFmtId="49" fontId="0" fillId="3" borderId="0" pivotButton="0" quotePrefix="0" xfId="0"/>
    <xf numFmtId="49" fontId="0" fillId="0" borderId="0" pivotButton="0" quotePrefix="0" xfId="0"/>
    <xf numFmtId="4" fontId="0" fillId="3" borderId="0" pivotButton="0" quotePrefix="0" xfId="0"/>
    <xf numFmtId="0" fontId="0" fillId="3" borderId="14" pivotButton="0" quotePrefix="0" xfId="0"/>
    <xf numFmtId="0" fontId="0" fillId="3" borderId="15" pivotButton="0" quotePrefix="0" xfId="0"/>
    <xf numFmtId="49" fontId="0" fillId="36" borderId="16" pivotButton="0" quotePrefix="0" xfId="0"/>
    <xf numFmtId="49" fontId="0" fillId="3" borderId="15" pivotButton="0" quotePrefix="0" xfId="0"/>
    <xf numFmtId="49" fontId="0" fillId="0" borderId="15" pivotButton="0" quotePrefix="0" xfId="0"/>
    <xf numFmtId="4" fontId="0" fillId="3" borderId="15" pivotButton="0" quotePrefix="0" xfId="0"/>
    <xf numFmtId="49" fontId="0" fillId="0" borderId="17" pivotButton="0" quotePrefix="0" xfId="0"/>
    <xf numFmtId="49" fontId="0" fillId="3" borderId="18" pivotButton="0" quotePrefix="0" xfId="0"/>
    <xf numFmtId="49" fontId="9" fillId="37" borderId="19" pivotButton="0" quotePrefix="0" xfId="0"/>
    <xf numFmtId="167" fontId="9" fillId="37" borderId="20" pivotButton="0" quotePrefix="0" xfId="0"/>
    <xf numFmtId="0" fontId="9" fillId="37" borderId="20" pivotButton="0" quotePrefix="0" xfId="0"/>
    <xf numFmtId="0" fontId="10" fillId="37" borderId="20" pivotButton="0" quotePrefix="0" xfId="0"/>
    <xf numFmtId="0" fontId="0" fillId="3" borderId="18" pivotButton="0" quotePrefix="0" xfId="0"/>
    <xf numFmtId="49" fontId="0" fillId="36" borderId="20" pivotButton="0" quotePrefix="0" xfId="0"/>
    <xf numFmtId="165" fontId="0" fillId="0" borderId="15" pivotButton="0" quotePrefix="0" xfId="0"/>
    <xf numFmtId="171" fontId="0" fillId="3" borderId="15" pivotButton="0" quotePrefix="0" xfId="0"/>
    <xf numFmtId="171" fontId="0" fillId="0" borderId="15" pivotButton="0" quotePrefix="0" xfId="0"/>
    <xf numFmtId="167" fontId="0" fillId="0" borderId="15" pivotButton="0" quotePrefix="0" xfId="0"/>
    <xf numFmtId="167" fontId="0" fillId="3" borderId="15" pivotButton="0" quotePrefix="0" xfId="0"/>
    <xf numFmtId="167" fontId="0" fillId="0" borderId="17" pivotButton="0" quotePrefix="0" xfId="0"/>
    <xf numFmtId="0" fontId="0" fillId="3" borderId="24" pivotButton="0" quotePrefix="0" xfId="0"/>
    <xf numFmtId="49" fontId="12" fillId="3" borderId="18" pivotButton="0" quotePrefix="0" xfId="0"/>
    <xf numFmtId="49" fontId="13" fillId="3" borderId="15" pivotButton="0" quotePrefix="0" xfId="0"/>
    <xf numFmtId="49" fontId="11" fillId="3" borderId="24" pivotButton="0" quotePrefix="0" xfId="0"/>
    <xf numFmtId="49" fontId="0" fillId="3" borderId="27" applyAlignment="1" pivotButton="0" quotePrefix="0" xfId="0">
      <alignment horizontal="left"/>
    </xf>
    <xf numFmtId="49" fontId="0" fillId="3" borderId="14" pivotButton="0" quotePrefix="0" xfId="0"/>
    <xf numFmtId="49" fontId="0" fillId="3" borderId="14" applyAlignment="1" pivotButton="0" quotePrefix="0" xfId="0">
      <alignment horizontal="right"/>
    </xf>
    <xf numFmtId="49" fontId="13" fillId="3" borderId="15" applyAlignment="1" pivotButton="0" quotePrefix="0" xfId="0">
      <alignment horizontal="right"/>
    </xf>
    <xf numFmtId="0" fontId="0" fillId="3" borderId="28" pivotButton="0" quotePrefix="0" xfId="0"/>
    <xf numFmtId="165" fontId="11" fillId="19" borderId="20" pivotButton="0" quotePrefix="0" xfId="0"/>
    <xf numFmtId="172" fontId="11" fillId="11" borderId="20" pivotButton="0" quotePrefix="0" xfId="0"/>
    <xf numFmtId="171" fontId="11" fillId="11" borderId="20" pivotButton="0" quotePrefix="0" xfId="0"/>
    <xf numFmtId="167" fontId="14" fillId="3" borderId="15" pivotButton="0" quotePrefix="0" xfId="0"/>
    <xf numFmtId="49" fontId="0" fillId="3" borderId="14" applyAlignment="1" pivotButton="0" quotePrefix="0" xfId="0">
      <alignment horizontal="left"/>
    </xf>
    <xf numFmtId="171" fontId="11" fillId="19" borderId="20" pivotButton="0" quotePrefix="0" xfId="0"/>
    <xf numFmtId="49" fontId="0" fillId="3" borderId="27" pivotButton="0" quotePrefix="0" xfId="0"/>
    <xf numFmtId="165" fontId="0" fillId="24" borderId="15" pivotButton="0" quotePrefix="0" xfId="0"/>
    <xf numFmtId="49" fontId="0" fillId="3" borderId="14" applyAlignment="1" pivotButton="0" quotePrefix="0" xfId="0">
      <alignment horizontal="center"/>
    </xf>
    <xf numFmtId="49" fontId="15" fillId="3" borderId="14" pivotButton="0" quotePrefix="0" xfId="0"/>
    <xf numFmtId="49" fontId="15" fillId="3" borderId="14" applyAlignment="1" pivotButton="0" quotePrefix="0" xfId="0">
      <alignment horizontal="left"/>
    </xf>
    <xf numFmtId="167" fontId="11" fillId="19" borderId="20" pivotButton="0" quotePrefix="0" xfId="0"/>
    <xf numFmtId="167" fontId="16" fillId="28" borderId="20" pivotButton="0" quotePrefix="0" xfId="0"/>
    <xf numFmtId="171" fontId="16" fillId="28" borderId="20" pivotButton="0" quotePrefix="0" xfId="0"/>
    <xf numFmtId="0" fontId="16" fillId="28" borderId="20" pivotButton="0" quotePrefix="0" xfId="0"/>
    <xf numFmtId="167" fontId="14" fillId="3" borderId="18" pivotButton="0" quotePrefix="0" xfId="0"/>
    <xf numFmtId="49" fontId="11" fillId="3" borderId="15" pivotButton="0" quotePrefix="0" xfId="0"/>
    <xf numFmtId="171" fontId="11" fillId="3" borderId="14" pivotButton="0" quotePrefix="0" xfId="0"/>
    <xf numFmtId="171" fontId="11" fillId="3" borderId="15" pivotButton="0" quotePrefix="0" xfId="0"/>
    <xf numFmtId="171" fontId="13" fillId="3" borderId="15" pivotButton="0" quotePrefix="0" xfId="0"/>
    <xf numFmtId="49" fontId="11" fillId="3" borderId="28" applyAlignment="1" pivotButton="0" quotePrefix="0" xfId="0">
      <alignment horizontal="right"/>
    </xf>
    <xf numFmtId="0" fontId="11" fillId="11" borderId="20" applyAlignment="1" pivotButton="0" quotePrefix="0" xfId="0">
      <alignment horizontal="left"/>
    </xf>
    <xf numFmtId="0" fontId="13" fillId="3" borderId="15" pivotButton="0" quotePrefix="0" xfId="0"/>
    <xf numFmtId="167" fontId="11" fillId="19" borderId="20" applyAlignment="1" pivotButton="0" quotePrefix="0" xfId="0">
      <alignment horizontal="right"/>
    </xf>
    <xf numFmtId="167" fontId="11" fillId="39" borderId="20" pivotButton="0" quotePrefix="0" xfId="0"/>
    <xf numFmtId="1" fontId="11" fillId="39" borderId="20" pivotButton="0" quotePrefix="0" xfId="0"/>
    <xf numFmtId="0" fontId="0" fillId="0" borderId="15" pivotButton="0" quotePrefix="0" xfId="0"/>
    <xf numFmtId="169" fontId="0" fillId="0" borderId="15" pivotButton="0" quotePrefix="0" xfId="0"/>
    <xf numFmtId="0" fontId="0" fillId="0" borderId="29" pivotButton="0" quotePrefix="0" xfId="0"/>
    <xf numFmtId="49" fontId="11" fillId="40" borderId="20" pivotButton="0" quotePrefix="0" xfId="0"/>
    <xf numFmtId="49" fontId="0" fillId="0" borderId="30" pivotButton="0" quotePrefix="0" xfId="0"/>
    <xf numFmtId="0" fontId="0" fillId="3" borderId="30" pivotButton="0" quotePrefix="0" xfId="0"/>
    <xf numFmtId="4" fontId="0" fillId="3" borderId="30" pivotButton="0" quotePrefix="0" xfId="0"/>
    <xf numFmtId="49" fontId="0" fillId="0" borderId="31" pivotButton="0" quotePrefix="0" xfId="0"/>
    <xf numFmtId="2" fontId="11" fillId="3" borderId="24" pivotButton="0" quotePrefix="0" xfId="0"/>
    <xf numFmtId="49" fontId="9" fillId="41" borderId="19" pivotButton="0" quotePrefix="0" xfId="0"/>
    <xf numFmtId="0" fontId="9" fillId="41" borderId="20" pivotButton="0" quotePrefix="0" xfId="0"/>
    <xf numFmtId="0" fontId="10" fillId="41" borderId="20" pivotButton="0" quotePrefix="0" xfId="0"/>
    <xf numFmtId="49" fontId="0" fillId="9" borderId="19" pivotButton="0" quotePrefix="0" xfId="0"/>
    <xf numFmtId="0" fontId="0" fillId="9" borderId="20" pivotButton="0" quotePrefix="0" xfId="0"/>
    <xf numFmtId="167" fontId="11" fillId="9" borderId="20" pivotButton="0" quotePrefix="0" xfId="0"/>
    <xf numFmtId="171" fontId="11" fillId="9" borderId="20" pivotButton="0" quotePrefix="0" xfId="0"/>
    <xf numFmtId="0" fontId="11" fillId="9" borderId="20" pivotButton="0" quotePrefix="0" xfId="0"/>
    <xf numFmtId="49" fontId="17" fillId="3" borderId="15" pivotButton="0" quotePrefix="0" xfId="0"/>
    <xf numFmtId="49" fontId="0" fillId="3" borderId="15" applyAlignment="1" pivotButton="0" quotePrefix="0" xfId="0">
      <alignment horizontal="center"/>
    </xf>
    <xf numFmtId="171" fontId="11" fillId="42" borderId="20" pivotButton="0" quotePrefix="0" xfId="0"/>
    <xf numFmtId="167" fontId="11" fillId="42" borderId="20" pivotButton="0" quotePrefix="0" xfId="0"/>
    <xf numFmtId="0" fontId="11" fillId="19" borderId="20" pivotButton="0" quotePrefix="0" xfId="0"/>
    <xf numFmtId="0" fontId="11" fillId="42" borderId="20" pivotButton="0" quotePrefix="0" xfId="0"/>
    <xf numFmtId="49" fontId="0" fillId="3" borderId="27" applyAlignment="1" pivotButton="0" quotePrefix="0" xfId="0">
      <alignment horizontal="center"/>
    </xf>
    <xf numFmtId="172" fontId="11" fillId="42" borderId="20" pivotButton="0" quotePrefix="0" xfId="0"/>
    <xf numFmtId="0" fontId="0" fillId="3" borderId="32" pivotButton="0" quotePrefix="0" xfId="0"/>
    <xf numFmtId="167" fontId="0" fillId="3" borderId="24" applyAlignment="1" pivotButton="0" quotePrefix="0" xfId="0">
      <alignment horizontal="center"/>
    </xf>
    <xf numFmtId="2" fontId="11" fillId="19" borderId="20" pivotButton="0" quotePrefix="0" xfId="0"/>
    <xf numFmtId="167" fontId="11" fillId="3" borderId="24" pivotButton="0" quotePrefix="0" xfId="0"/>
    <xf numFmtId="167" fontId="11" fillId="3" borderId="15" pivotButton="0" quotePrefix="0" xfId="0"/>
    <xf numFmtId="49" fontId="0" fillId="7" borderId="19" pivotButton="0" quotePrefix="0" xfId="0"/>
    <xf numFmtId="0" fontId="0" fillId="3" borderId="18" applyAlignment="1" pivotButton="0" quotePrefix="0" xfId="0">
      <alignment horizontal="center"/>
    </xf>
    <xf numFmtId="0" fontId="0" fillId="3" borderId="15" applyAlignment="1" pivotButton="0" quotePrefix="0" xfId="0">
      <alignment horizontal="center"/>
    </xf>
    <xf numFmtId="171" fontId="0" fillId="3" borderId="15" applyAlignment="1" pivotButton="0" quotePrefix="0" xfId="0">
      <alignment horizontal="center"/>
    </xf>
    <xf numFmtId="49" fontId="11" fillId="3" borderId="15" applyAlignment="1" pivotButton="0" quotePrefix="0" xfId="0">
      <alignment horizontal="center"/>
    </xf>
    <xf numFmtId="49" fontId="15" fillId="7" borderId="19" pivotButton="0" quotePrefix="0" xfId="0"/>
    <xf numFmtId="0" fontId="15" fillId="3" borderId="18" pivotButton="0" quotePrefix="0" xfId="0"/>
    <xf numFmtId="0" fontId="15" fillId="3" borderId="15" pivotButton="0" quotePrefix="0" xfId="0"/>
    <xf numFmtId="49" fontId="13" fillId="3" borderId="27" pivotButton="0" quotePrefix="0" xfId="0"/>
    <xf numFmtId="167" fontId="13" fillId="3" borderId="14" pivotButton="0" quotePrefix="0" xfId="0"/>
    <xf numFmtId="171" fontId="11" fillId="42" borderId="33" pivotButton="0" quotePrefix="0" xfId="0"/>
    <xf numFmtId="171" fontId="11" fillId="42" borderId="34" pivotButton="0" quotePrefix="0" xfId="0"/>
    <xf numFmtId="0" fontId="0" fillId="3" borderId="35" pivotButton="0" quotePrefix="0" xfId="0"/>
    <xf numFmtId="49" fontId="0" fillId="3" borderId="19" pivotButton="0" quotePrefix="0" xfId="0"/>
    <xf numFmtId="165" fontId="11" fillId="43" borderId="20" pivotButton="0" quotePrefix="0" xfId="0"/>
    <xf numFmtId="0" fontId="11" fillId="3" borderId="20" pivotButton="0" quotePrefix="0" xfId="0"/>
    <xf numFmtId="0" fontId="0" fillId="3" borderId="36" pivotButton="0" quotePrefix="0" xfId="0"/>
    <xf numFmtId="0" fontId="0" fillId="3" borderId="27" pivotButton="0" quotePrefix="0" xfId="0"/>
    <xf numFmtId="49" fontId="9" fillId="44" borderId="19" pivotButton="0" quotePrefix="0" xfId="0"/>
    <xf numFmtId="0" fontId="0" fillId="44" borderId="20" pivotButton="0" quotePrefix="0" xfId="0"/>
    <xf numFmtId="167" fontId="0" fillId="3" borderId="24" pivotButton="0" quotePrefix="0" xfId="0"/>
    <xf numFmtId="49" fontId="11" fillId="3" borderId="28" pivotButton="0" quotePrefix="0" xfId="0"/>
    <xf numFmtId="1" fontId="11" fillId="42" borderId="20" applyAlignment="1" pivotButton="0" quotePrefix="0" xfId="0">
      <alignment horizontal="right"/>
    </xf>
    <xf numFmtId="49" fontId="11" fillId="3" borderId="32" applyAlignment="1" pivotButton="0" quotePrefix="0" xfId="0">
      <alignment horizontal="right"/>
    </xf>
    <xf numFmtId="0" fontId="0" fillId="42" borderId="20" pivotButton="0" quotePrefix="0" xfId="0"/>
    <xf numFmtId="167" fontId="13" fillId="3" borderId="18" pivotButton="0" quotePrefix="0" xfId="0"/>
    <xf numFmtId="165" fontId="13" fillId="3" borderId="15" pivotButton="0" quotePrefix="0" xfId="0"/>
    <xf numFmtId="2" fontId="11" fillId="19" borderId="20" applyAlignment="1" pivotButton="0" quotePrefix="0" xfId="0">
      <alignment horizontal="right"/>
    </xf>
    <xf numFmtId="167" fontId="15" fillId="3" borderId="15" pivotButton="0" quotePrefix="0" xfId="0"/>
    <xf numFmtId="0" fontId="10" fillId="3" borderId="15" pivotButton="0" quotePrefix="0" xfId="0"/>
    <xf numFmtId="0" fontId="11" fillId="3" borderId="15" pivotButton="0" quotePrefix="0" xfId="0"/>
    <xf numFmtId="2" fontId="11" fillId="3" borderId="24" applyAlignment="1" pivotButton="0" quotePrefix="0" xfId="0">
      <alignment horizontal="right"/>
    </xf>
    <xf numFmtId="173" fontId="13" fillId="3" borderId="15" pivotButton="0" quotePrefix="0" xfId="0"/>
    <xf numFmtId="167" fontId="13" fillId="3" borderId="15" pivotButton="0" quotePrefix="0" xfId="0"/>
    <xf numFmtId="49" fontId="18" fillId="3" borderId="15" pivotButton="0" quotePrefix="0" xfId="0"/>
    <xf numFmtId="167" fontId="11" fillId="3" borderId="15" applyAlignment="1" pivotButton="0" quotePrefix="0" xfId="0">
      <alignment horizontal="right"/>
    </xf>
    <xf numFmtId="4" fontId="0" fillId="0" borderId="0" pivotButton="0" quotePrefix="0" xfId="0"/>
    <xf numFmtId="0" fontId="0" fillId="0" borderId="37" pivotButton="1" quotePrefix="0" xfId="0"/>
    <xf numFmtId="0" fontId="0" fillId="0" borderId="38" pivotButton="1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37" pivotButton="0" quotePrefix="0" xfId="0"/>
    <xf numFmtId="0" fontId="0" fillId="0" borderId="41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44" pivotButton="0" quotePrefix="0" xfId="0"/>
    <xf numFmtId="0" fontId="0" fillId="0" borderId="46" pivotButton="0" quotePrefix="0" xfId="0"/>
    <xf numFmtId="165" fontId="0" fillId="45" borderId="0" applyAlignment="1" pivotButton="0" quotePrefix="0" xfId="0">
      <alignment horizontal="left"/>
    </xf>
    <xf numFmtId="164" fontId="0" fillId="45" borderId="0" applyAlignment="1" pivotButton="0" quotePrefix="0" xfId="0">
      <alignment horizontal="left"/>
    </xf>
    <xf numFmtId="0" fontId="9" fillId="45" borderId="0" pivotButton="0" quotePrefix="0" xfId="0"/>
    <xf numFmtId="173" fontId="0" fillId="0" borderId="0" pivotButton="0" quotePrefix="0" xfId="0"/>
    <xf numFmtId="2" fontId="0" fillId="0" borderId="0" pivotButton="0" quotePrefix="0" xfId="0"/>
    <xf numFmtId="0" fontId="12" fillId="0" borderId="0" pivotButton="0" quotePrefix="0" xfId="0"/>
    <xf numFmtId="0" fontId="9" fillId="46" borderId="0" pivotButton="0" quotePrefix="0" xfId="0"/>
    <xf numFmtId="0" fontId="11" fillId="0" borderId="0" pivotButton="0" quotePrefix="0" xfId="0"/>
    <xf numFmtId="1" fontId="9" fillId="46" borderId="0" pivotButton="0" quotePrefix="0" xfId="0"/>
    <xf numFmtId="0" fontId="0" fillId="47" borderId="0" pivotButton="0" quotePrefix="0" xfId="0"/>
    <xf numFmtId="0" fontId="11" fillId="47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21" fillId="47" borderId="0" pivotButton="0" quotePrefix="0" xfId="0"/>
    <xf numFmtId="0" fontId="0" fillId="48" borderId="0" pivotButton="0" quotePrefix="0" xfId="0"/>
    <xf numFmtId="0" fontId="21" fillId="48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20" fillId="0" borderId="0" pivotButton="0" quotePrefix="0" xfId="0"/>
    <xf numFmtId="0" fontId="11" fillId="48" borderId="0" pivotButton="0" quotePrefix="0" xfId="0"/>
    <xf numFmtId="0" fontId="0" fillId="49" borderId="0" pivotButton="0" quotePrefix="0" xfId="0"/>
    <xf numFmtId="0" fontId="11" fillId="49" borderId="0" pivotButton="0" quotePrefix="0" xfId="0"/>
    <xf numFmtId="0" fontId="2" fillId="30" borderId="26" pivotButton="0" quotePrefix="0" xfId="1"/>
    <xf numFmtId="0" fontId="2" fillId="21" borderId="26" applyAlignment="1" pivotButton="0" quotePrefix="0" xfId="1">
      <alignment horizontal="left"/>
    </xf>
    <xf numFmtId="0" fontId="2" fillId="27" borderId="26" applyAlignment="1" pivotButton="0" quotePrefix="0" xfId="1">
      <alignment horizontal="left"/>
    </xf>
    <xf numFmtId="0" fontId="2" fillId="18" borderId="26" applyAlignment="1" pivotButton="0" quotePrefix="0" xfId="1">
      <alignment horizontal="left"/>
    </xf>
    <xf numFmtId="0" fontId="2" fillId="50" borderId="26" applyAlignment="1" pivotButton="0" quotePrefix="0" xfId="1">
      <alignment horizontal="left"/>
    </xf>
    <xf numFmtId="0" fontId="2" fillId="5" borderId="26" applyAlignment="1" pivotButton="0" quotePrefix="0" xfId="1">
      <alignment horizontal="left"/>
    </xf>
    <xf numFmtId="0" fontId="19" fillId="0" borderId="26" pivotButton="0" quotePrefix="0" xfId="1"/>
    <xf numFmtId="2" fontId="2" fillId="27" borderId="26" pivotButton="0" quotePrefix="0" xfId="1"/>
    <xf numFmtId="2" fontId="2" fillId="24" borderId="26" pivotButton="0" quotePrefix="0" xfId="1"/>
    <xf numFmtId="2" fontId="2" fillId="21" borderId="26" applyAlignment="1" pivotButton="0" quotePrefix="0" xfId="1">
      <alignment horizontal="left"/>
    </xf>
    <xf numFmtId="2" fontId="2" fillId="18" borderId="26" applyAlignment="1" pivotButton="0" quotePrefix="0" xfId="1">
      <alignment horizontal="left"/>
    </xf>
    <xf numFmtId="2" fontId="2" fillId="50" borderId="26" applyAlignment="1" pivotButton="0" quotePrefix="0" xfId="1">
      <alignment horizontal="left"/>
    </xf>
    <xf numFmtId="2" fontId="2" fillId="5" borderId="26" applyAlignment="1" pivotButton="0" quotePrefix="0" xfId="1">
      <alignment horizontal="left"/>
    </xf>
    <xf numFmtId="0" fontId="2" fillId="27" borderId="26" pivotButton="0" quotePrefix="0" xfId="1"/>
    <xf numFmtId="0" fontId="2" fillId="24" borderId="26" pivotButton="0" quotePrefix="0" xfId="1"/>
    <xf numFmtId="165" fontId="2" fillId="21" borderId="26" applyAlignment="1" pivotButton="0" quotePrefix="0" xfId="1">
      <alignment horizontal="left"/>
    </xf>
    <xf numFmtId="165" fontId="2" fillId="18" borderId="26" applyAlignment="1" pivotButton="0" quotePrefix="0" xfId="1">
      <alignment horizontal="left"/>
    </xf>
    <xf numFmtId="165" fontId="2" fillId="50" borderId="26" applyAlignment="1" pivotButton="0" quotePrefix="0" xfId="1">
      <alignment horizontal="left"/>
    </xf>
    <xf numFmtId="165" fontId="2" fillId="5" borderId="26" applyAlignment="1" pivotButton="0" quotePrefix="0" xfId="1">
      <alignment horizontal="left"/>
    </xf>
    <xf numFmtId="2" fontId="2" fillId="18" borderId="26" pivotButton="0" quotePrefix="0" xfId="1"/>
    <xf numFmtId="0" fontId="2" fillId="18" borderId="26" pivotButton="0" quotePrefix="0" xfId="1"/>
    <xf numFmtId="0" fontId="2" fillId="2" borderId="26" pivotButton="0" quotePrefix="0" xfId="1"/>
    <xf numFmtId="165" fontId="2" fillId="25" borderId="26" pivotButton="0" quotePrefix="0" xfId="1"/>
    <xf numFmtId="165" fontId="2" fillId="20" borderId="26" pivotButton="0" quotePrefix="0" xfId="1"/>
    <xf numFmtId="0" fontId="2" fillId="20" borderId="26" pivotButton="0" quotePrefix="0" xfId="1"/>
    <xf numFmtId="0" fontId="2" fillId="0" borderId="26" pivotButton="0" quotePrefix="0" xfId="1"/>
    <xf numFmtId="0" fontId="2" fillId="21" borderId="26" pivotButton="0" quotePrefix="0" xfId="1"/>
    <xf numFmtId="0" fontId="2" fillId="50" borderId="26" pivotButton="0" quotePrefix="0" xfId="1"/>
    <xf numFmtId="0" fontId="2" fillId="5" borderId="26" pivotButton="0" quotePrefix="0" xfId="1"/>
    <xf numFmtId="4" fontId="2" fillId="21" borderId="26" pivotButton="0" quotePrefix="0" xfId="1"/>
    <xf numFmtId="0" fontId="1" fillId="2" borderId="26" pivotButton="0" quotePrefix="0" xfId="1"/>
    <xf numFmtId="0" fontId="2" fillId="3" borderId="26" pivotButton="0" quotePrefix="0" xfId="1"/>
    <xf numFmtId="164" fontId="2" fillId="3" borderId="26" pivotButton="0" quotePrefix="0" xfId="1"/>
    <xf numFmtId="164" fontId="2" fillId="2" borderId="26" pivotButton="0" quotePrefix="0" xfId="1"/>
    <xf numFmtId="164" fontId="2" fillId="27" borderId="26" applyAlignment="1" pivotButton="0" quotePrefix="0" xfId="1">
      <alignment horizontal="left"/>
    </xf>
    <xf numFmtId="0" fontId="2" fillId="12" borderId="26" pivotButton="0" quotePrefix="0" xfId="1"/>
    <xf numFmtId="164" fontId="2" fillId="12" borderId="26" pivotButton="0" quotePrefix="0" xfId="1"/>
    <xf numFmtId="164" fontId="8" fillId="27" borderId="26" applyAlignment="1" pivotButton="0" quotePrefix="0" xfId="1">
      <alignment horizontal="left"/>
    </xf>
    <xf numFmtId="165" fontId="2" fillId="12" borderId="26" pivotButton="0" quotePrefix="0" xfId="1"/>
    <xf numFmtId="165" fontId="2" fillId="2" borderId="26" pivotButton="0" quotePrefix="0" xfId="1"/>
    <xf numFmtId="165" fontId="2" fillId="27" borderId="26" applyAlignment="1" pivotButton="0" quotePrefix="0" xfId="1">
      <alignment horizontal="left"/>
    </xf>
    <xf numFmtId="0" fontId="2" fillId="13" borderId="26" pivotButton="0" quotePrefix="0" xfId="1"/>
    <xf numFmtId="164" fontId="2" fillId="13" borderId="26" pivotButton="0" quotePrefix="0" xfId="1"/>
    <xf numFmtId="165" fontId="2" fillId="13" borderId="26" pivotButton="0" quotePrefix="0" xfId="1"/>
    <xf numFmtId="0" fontId="2" fillId="14" borderId="26" pivotButton="0" quotePrefix="0" xfId="1"/>
    <xf numFmtId="164" fontId="2" fillId="14" borderId="26" pivotButton="0" quotePrefix="0" xfId="1"/>
    <xf numFmtId="165" fontId="2" fillId="14" borderId="26" pivotButton="0" quotePrefix="0" xfId="1"/>
    <xf numFmtId="165" fontId="2" fillId="3" borderId="26" pivotButton="0" quotePrefix="0" xfId="1"/>
    <xf numFmtId="165" fontId="2" fillId="3" borderId="26" applyAlignment="1" pivotButton="0" quotePrefix="0" xfId="1">
      <alignment horizontal="left"/>
    </xf>
    <xf numFmtId="0" fontId="22" fillId="0" borderId="0" pivotButton="0" quotePrefix="0" xfId="0"/>
    <xf numFmtId="0" fontId="23" fillId="0" borderId="0" pivotButton="0" quotePrefix="0" xfId="0"/>
    <xf numFmtId="0" fontId="24" fillId="51" borderId="0" pivotButton="0" quotePrefix="0" xfId="0"/>
    <xf numFmtId="0" fontId="0" fillId="51" borderId="0" pivotButton="0" quotePrefix="0" xfId="0"/>
    <xf numFmtId="1" fontId="0" fillId="0" borderId="0" pivotButton="0" quotePrefix="0" xfId="0"/>
    <xf numFmtId="0" fontId="11" fillId="52" borderId="0" pivotButton="0" quotePrefix="0" xfId="0"/>
    <xf numFmtId="2" fontId="11" fillId="0" borderId="0" pivotButton="0" quotePrefix="0" xfId="0"/>
    <xf numFmtId="2" fontId="11" fillId="52" borderId="0" pivotButton="0" quotePrefix="0" xfId="0"/>
    <xf numFmtId="1" fontId="11" fillId="52" borderId="0" pivotButton="0" quotePrefix="0" xfId="0"/>
    <xf numFmtId="0" fontId="25" fillId="0" borderId="0" pivotButton="0" quotePrefix="0" xfId="0"/>
    <xf numFmtId="0" fontId="26" fillId="0" borderId="0" pivotButton="0" quotePrefix="0" xfId="0"/>
    <xf numFmtId="174" fontId="0" fillId="0" borderId="0" pivotButton="0" quotePrefix="0" xfId="0"/>
    <xf numFmtId="175" fontId="0" fillId="0" borderId="0" pivotButton="0" quotePrefix="0" xfId="0"/>
    <xf numFmtId="0" fontId="27" fillId="0" borderId="0" pivotButton="0" quotePrefix="0" xfId="0"/>
    <xf numFmtId="165" fontId="20" fillId="52" borderId="0" pivotButton="0" quotePrefix="0" xfId="0"/>
    <xf numFmtId="0" fontId="0" fillId="52" borderId="0" pivotButton="0" quotePrefix="0" xfId="0"/>
    <xf numFmtId="165" fontId="0" fillId="52" borderId="0" pivotButton="0" quotePrefix="0" xfId="0"/>
    <xf numFmtId="174" fontId="0" fillId="52" borderId="0" pivotButton="0" quotePrefix="0" xfId="0"/>
    <xf numFmtId="175" fontId="0" fillId="52" borderId="0" pivotButton="0" quotePrefix="0" xfId="0"/>
    <xf numFmtId="0" fontId="28" fillId="52" borderId="0" pivotButton="0" quotePrefix="0" xfId="0"/>
    <xf numFmtId="0" fontId="29" fillId="0" borderId="0" pivotButton="0" quotePrefix="0" xfId="0"/>
    <xf numFmtId="167" fontId="20" fillId="0" borderId="0" pivotButton="0" quotePrefix="0" xfId="0"/>
    <xf numFmtId="0" fontId="30" fillId="0" borderId="0" pivotButton="0" quotePrefix="0" xfId="0"/>
    <xf numFmtId="0" fontId="31" fillId="0" borderId="0" pivotButton="0" quotePrefix="0" xfId="0"/>
    <xf numFmtId="0" fontId="33" fillId="0" borderId="0" pivotButton="0" quotePrefix="0" xfId="0"/>
    <xf numFmtId="0" fontId="21" fillId="53" borderId="0" pivotButton="0" quotePrefix="0" xfId="0"/>
    <xf numFmtId="0" fontId="34" fillId="0" borderId="0" pivotButton="0" quotePrefix="0" xfId="0"/>
    <xf numFmtId="0" fontId="36" fillId="0" borderId="0" pivotButton="0" quotePrefix="0" xfId="0"/>
    <xf numFmtId="0" fontId="20" fillId="53" borderId="0" pivotButton="0" quotePrefix="0" xfId="0"/>
    <xf numFmtId="164" fontId="20" fillId="53" borderId="0" pivotButton="0" quotePrefix="0" xfId="0"/>
    <xf numFmtId="0" fontId="11" fillId="0" borderId="49" pivotButton="0" quotePrefix="0" xfId="0"/>
    <xf numFmtId="0" fontId="0" fillId="0" borderId="49" pivotButton="0" quotePrefix="0" xfId="0"/>
    <xf numFmtId="0" fontId="0" fillId="0" borderId="50" pivotButton="0" quotePrefix="0" xfId="0"/>
    <xf numFmtId="2" fontId="0" fillId="0" borderId="50" pivotButton="0" quotePrefix="0" xfId="0"/>
    <xf numFmtId="164" fontId="20" fillId="53" borderId="50" pivotButton="0" quotePrefix="0" xfId="0"/>
    <xf numFmtId="176" fontId="0" fillId="0" borderId="50" pivotButton="0" quotePrefix="0" xfId="0"/>
    <xf numFmtId="0" fontId="0" fillId="0" borderId="51" pivotButton="0" quotePrefix="0" xfId="0"/>
    <xf numFmtId="2" fontId="0" fillId="0" borderId="51" pivotButton="0" quotePrefix="0" xfId="0"/>
    <xf numFmtId="164" fontId="20" fillId="53" borderId="51" pivotButton="0" quotePrefix="0" xfId="0"/>
    <xf numFmtId="176" fontId="0" fillId="0" borderId="51" pivotButton="0" quotePrefix="0" xfId="0"/>
    <xf numFmtId="0" fontId="9" fillId="54" borderId="53" pivotButton="0" quotePrefix="0" xfId="0"/>
    <xf numFmtId="0" fontId="9" fillId="54" borderId="54" pivotButton="0" quotePrefix="0" xfId="0"/>
    <xf numFmtId="0" fontId="11" fillId="0" borderId="55" pivotButton="0" quotePrefix="0" xfId="0"/>
    <xf numFmtId="0" fontId="11" fillId="0" borderId="56" pivotButton="0" quotePrefix="0" xfId="0"/>
    <xf numFmtId="0" fontId="9" fillId="54" borderId="57" pivotButton="0" quotePrefix="0" xfId="0"/>
    <xf numFmtId="0" fontId="0" fillId="0" borderId="58" pivotButton="0" quotePrefix="0" xfId="0"/>
    <xf numFmtId="0" fontId="0" fillId="0" borderId="59" pivotButton="0" quotePrefix="0" xfId="0"/>
    <xf numFmtId="0" fontId="21" fillId="53" borderId="49" pivotButton="0" quotePrefix="0" xfId="0"/>
    <xf numFmtId="164" fontId="21" fillId="53" borderId="49" pivotButton="0" quotePrefix="0" xfId="0"/>
    <xf numFmtId="1" fontId="21" fillId="53" borderId="49" pivotButton="0" quotePrefix="0" xfId="0"/>
    <xf numFmtId="0" fontId="33" fillId="0" borderId="49" pivotButton="0" quotePrefix="0" xfId="0"/>
    <xf numFmtId="2" fontId="11" fillId="0" borderId="49" pivotButton="0" quotePrefix="0" xfId="0"/>
    <xf numFmtId="0" fontId="35" fillId="0" borderId="49" pivotButton="0" quotePrefix="0" xfId="0"/>
    <xf numFmtId="176" fontId="35" fillId="0" borderId="49" pivotButton="0" quotePrefix="0" xfId="0"/>
    <xf numFmtId="177" fontId="11" fillId="0" borderId="49" pivotButton="0" quotePrefix="0" xfId="0"/>
    <xf numFmtId="0" fontId="11" fillId="0" borderId="52" pivotButton="0" quotePrefix="0" xfId="0"/>
    <xf numFmtId="0" fontId="33" fillId="0" borderId="60" pivotButton="0" quotePrefix="0" xfId="0"/>
    <xf numFmtId="0" fontId="0" fillId="0" borderId="60" pivotButton="0" quotePrefix="0" xfId="0"/>
    <xf numFmtId="0" fontId="11" fillId="55" borderId="0" pivotButton="0" quotePrefix="0" xfId="0"/>
    <xf numFmtId="0" fontId="0" fillId="55" borderId="0" pivotButton="0" quotePrefix="0" xfId="0"/>
    <xf numFmtId="165" fontId="20" fillId="53" borderId="0" pivotButton="0" quotePrefix="0" xfId="0"/>
    <xf numFmtId="0" fontId="37" fillId="0" borderId="0" pivotButton="0" quotePrefix="0" xfId="0"/>
    <xf numFmtId="0" fontId="38" fillId="0" borderId="0" pivotButton="0" quotePrefix="0" xfId="0"/>
    <xf numFmtId="0" fontId="25" fillId="56" borderId="0" pivotButton="0" quotePrefix="0" xfId="0"/>
    <xf numFmtId="0" fontId="25" fillId="49" borderId="0" pivotButton="0" quotePrefix="0" xfId="0"/>
    <xf numFmtId="0" fontId="25" fillId="53" borderId="0" pivotButton="0" quotePrefix="0" xfId="0"/>
    <xf numFmtId="0" fontId="25" fillId="48" borderId="0" pivotButton="0" quotePrefix="0" xfId="0"/>
    <xf numFmtId="0" fontId="25" fillId="57" borderId="0" pivotButton="0" quotePrefix="0" xfId="0"/>
    <xf numFmtId="0" fontId="11" fillId="58" borderId="0" pivotButton="0" quotePrefix="0" xfId="0"/>
    <xf numFmtId="0" fontId="0" fillId="58" borderId="0" pivotButton="0" quotePrefix="0" xfId="0"/>
    <xf numFmtId="0" fontId="0" fillId="56" borderId="0" pivotButton="0" quotePrefix="0" xfId="0"/>
    <xf numFmtId="0" fontId="11" fillId="56" borderId="0" pivotButton="0" quotePrefix="0" xfId="0"/>
    <xf numFmtId="0" fontId="0" fillId="53" borderId="0" pivotButton="0" quotePrefix="0" xfId="0"/>
    <xf numFmtId="0" fontId="11" fillId="53" borderId="0" pivotButton="0" quotePrefix="0" xfId="0"/>
    <xf numFmtId="0" fontId="0" fillId="57" borderId="0" pivotButton="0" quotePrefix="0" xfId="0"/>
    <xf numFmtId="0" fontId="0" fillId="59" borderId="0" applyAlignment="1" pivotButton="0" quotePrefix="0" xfId="0">
      <alignment horizontal="center"/>
    </xf>
    <xf numFmtId="165" fontId="20" fillId="60" borderId="0" pivotButton="0" quotePrefix="0" xfId="0"/>
    <xf numFmtId="165" fontId="0" fillId="48" borderId="0" pivotButton="0" quotePrefix="0" xfId="0"/>
    <xf numFmtId="0" fontId="25" fillId="61" borderId="0" pivotButton="0" quotePrefix="0" xfId="0"/>
    <xf numFmtId="0" fontId="25" fillId="62" borderId="0" pivotButton="0" quotePrefix="0" xfId="0"/>
    <xf numFmtId="0" fontId="25" fillId="63" borderId="0" pivotButton="0" quotePrefix="0" xfId="0"/>
    <xf numFmtId="0" fontId="25" fillId="64" borderId="0" pivotButton="0" quotePrefix="0" xfId="0"/>
    <xf numFmtId="0" fontId="40" fillId="0" borderId="0" pivotButton="0" quotePrefix="0" xfId="0"/>
    <xf numFmtId="0" fontId="42" fillId="0" borderId="0" pivotButton="0" quotePrefix="0" xfId="0"/>
    <xf numFmtId="0" fontId="44" fillId="0" borderId="0" pivotButton="0" quotePrefix="0" xfId="0"/>
    <xf numFmtId="0" fontId="11" fillId="59" borderId="0" applyAlignment="1" pivotButton="0" quotePrefix="0" xfId="0">
      <alignment horizontal="center"/>
    </xf>
    <xf numFmtId="165" fontId="0" fillId="56" borderId="0" pivotButton="0" quotePrefix="0" xfId="0"/>
    <xf numFmtId="164" fontId="0" fillId="56" borderId="0" pivotButton="0" quotePrefix="0" xfId="0"/>
    <xf numFmtId="164" fontId="0" fillId="49" borderId="0" pivotButton="0" quotePrefix="0" xfId="0"/>
    <xf numFmtId="165" fontId="0" fillId="49" borderId="0" pivotButton="0" quotePrefix="0" xfId="0"/>
    <xf numFmtId="0" fontId="0" fillId="0" borderId="0" applyAlignment="1" pivotButton="0" quotePrefix="0" xfId="0">
      <alignment horizontal="center"/>
    </xf>
    <xf numFmtId="0" fontId="32" fillId="53" borderId="0" applyAlignment="1" pivotButton="0" quotePrefix="0" xfId="0">
      <alignment horizontal="center"/>
    </xf>
    <xf numFmtId="0" fontId="39" fillId="53" borderId="0" applyAlignment="1" pivotButton="0" quotePrefix="0" xfId="0">
      <alignment horizontal="center"/>
    </xf>
    <xf numFmtId="0" fontId="41" fillId="53" borderId="0" applyAlignment="1" pivotButton="0" quotePrefix="0" xfId="0">
      <alignment horizontal="center"/>
    </xf>
    <xf numFmtId="0" fontId="43" fillId="53" borderId="0" applyAlignment="1" pivotButton="0" quotePrefix="0" xfId="0">
      <alignment horizontal="center"/>
    </xf>
    <xf numFmtId="165" fontId="0" fillId="65" borderId="0" pivotButton="0" quotePrefix="0" xfId="0"/>
    <xf numFmtId="0" fontId="0" fillId="62" borderId="0" pivotButton="0" quotePrefix="0" xfId="0"/>
    <xf numFmtId="0" fontId="36" fillId="45" borderId="0" pivotButton="0" quotePrefix="0" xfId="0"/>
    <xf numFmtId="0" fontId="11" fillId="0" borderId="0" applyAlignment="1" pivotButton="0" quotePrefix="0" xfId="0">
      <alignment horizontal="center"/>
    </xf>
    <xf numFmtId="0" fontId="11" fillId="66" borderId="0" applyAlignment="1" pivotButton="0" quotePrefix="0" xfId="0">
      <alignment horizontal="center"/>
    </xf>
    <xf numFmtId="0" fontId="0" fillId="66" borderId="0" applyAlignment="1" pivotButton="0" quotePrefix="0" xfId="0">
      <alignment horizontal="center"/>
    </xf>
    <xf numFmtId="164" fontId="20" fillId="0" borderId="0" pivotButton="0" quotePrefix="0" xfId="0"/>
    <xf numFmtId="0" fontId="33" fillId="66" borderId="0" pivotButton="0" quotePrefix="0" xfId="0"/>
    <xf numFmtId="0" fontId="45" fillId="66" borderId="0" pivotButton="0" quotePrefix="0" xfId="0"/>
    <xf numFmtId="0" fontId="25" fillId="67" borderId="0" pivotButton="0" quotePrefix="0" xfId="0"/>
    <xf numFmtId="0" fontId="46" fillId="0" borderId="0" pivotButton="0" quotePrefix="0" xfId="0"/>
    <xf numFmtId="165" fontId="0" fillId="67" borderId="0" pivotButton="0" quotePrefix="0" xfId="0"/>
    <xf numFmtId="0" fontId="0" fillId="67" borderId="0" pivotButton="0" quotePrefix="0" xfId="0"/>
    <xf numFmtId="0" fontId="47" fillId="67" borderId="0" pivotButton="0" quotePrefix="0" xfId="0"/>
    <xf numFmtId="165" fontId="0" fillId="61" borderId="0" pivotButton="0" quotePrefix="0" xfId="0"/>
    <xf numFmtId="0" fontId="0" fillId="61" borderId="0" pivotButton="0" quotePrefix="0" xfId="0"/>
    <xf numFmtId="0" fontId="47" fillId="61" borderId="0" pivotButton="0" quotePrefix="0" xfId="0"/>
    <xf numFmtId="167" fontId="0" fillId="0" borderId="0" pivotButton="0" quotePrefix="0" xfId="0"/>
    <xf numFmtId="167" fontId="0" fillId="57" borderId="0" pivotButton="0" quotePrefix="0" xfId="0"/>
    <xf numFmtId="165" fontId="0" fillId="57" borderId="0" pivotButton="0" quotePrefix="0" xfId="0"/>
    <xf numFmtId="178" fontId="0" fillId="57" borderId="0" pivotButton="0" quotePrefix="0" xfId="0"/>
    <xf numFmtId="0" fontId="11" fillId="68" borderId="0" pivotButton="0" quotePrefix="0" xfId="0"/>
    <xf numFmtId="0" fontId="11" fillId="69" borderId="0" pivotButton="0" quotePrefix="0" xfId="0"/>
    <xf numFmtId="0" fontId="46" fillId="59" borderId="0" applyAlignment="1" pivotButton="0" quotePrefix="0" xfId="0">
      <alignment horizontal="center"/>
    </xf>
    <xf numFmtId="0" fontId="47" fillId="0" borderId="0" pivotButton="0" quotePrefix="0" xfId="0"/>
    <xf numFmtId="0" fontId="0" fillId="68" borderId="0" pivotButton="0" quotePrefix="0" xfId="0"/>
    <xf numFmtId="165" fontId="0" fillId="68" borderId="0" pivotButton="0" quotePrefix="0" xfId="0"/>
    <xf numFmtId="0" fontId="0" fillId="69" borderId="0" pivotButton="0" quotePrefix="0" xfId="0"/>
    <xf numFmtId="165" fontId="0" fillId="69" borderId="0" pivotButton="0" quotePrefix="0" xfId="0"/>
    <xf numFmtId="0" fontId="35" fillId="67" borderId="0" pivotButton="0" quotePrefix="0" xfId="0"/>
    <xf numFmtId="0" fontId="48" fillId="0" borderId="0" pivotButton="0" quotePrefix="0" xfId="0"/>
    <xf numFmtId="3" fontId="0" fillId="0" borderId="0" pivotButton="0" quotePrefix="0" xfId="0"/>
    <xf numFmtId="0" fontId="35" fillId="57" borderId="0" pivotButton="0" quotePrefix="0" xfId="0"/>
    <xf numFmtId="0" fontId="49" fillId="49" borderId="0" pivotButton="0" quotePrefix="0" xfId="0"/>
    <xf numFmtId="2" fontId="0" fillId="52" borderId="0" pivotButton="0" quotePrefix="0" xfId="0"/>
    <xf numFmtId="164" fontId="0" fillId="52" borderId="0" pivotButton="0" quotePrefix="0" xfId="0"/>
    <xf numFmtId="0" fontId="35" fillId="62" borderId="0" pivotButton="0" quotePrefix="0" xfId="0"/>
    <xf numFmtId="0" fontId="35" fillId="64" borderId="0" pivotButton="0" quotePrefix="0" xfId="0"/>
    <xf numFmtId="0" fontId="50" fillId="0" borderId="0" pivotButton="0" quotePrefix="0" xfId="0"/>
    <xf numFmtId="0" fontId="11" fillId="49" borderId="0" applyAlignment="1" pivotButton="0" quotePrefix="0" xfId="0">
      <alignment wrapText="1"/>
    </xf>
    <xf numFmtId="0" fontId="49" fillId="49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1" fillId="48" borderId="0" applyAlignment="1" pivotButton="0" quotePrefix="0" xfId="0">
      <alignment wrapText="1"/>
    </xf>
    <xf numFmtId="0" fontId="0" fillId="0" borderId="0" applyAlignment="1" pivotButton="0" quotePrefix="0" xfId="0">
      <alignment horizontal="center" wrapText="1"/>
    </xf>
    <xf numFmtId="1" fontId="0" fillId="52" borderId="0" pivotButton="0" quotePrefix="0" xfId="0"/>
    <xf numFmtId="0" fontId="11" fillId="0" borderId="0" applyAlignment="1" pivotButton="0" quotePrefix="0" xfId="0">
      <alignment wrapText="1"/>
    </xf>
    <xf numFmtId="2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3" fontId="20" fillId="53" borderId="0" pivotButton="0" quotePrefix="0" xfId="0"/>
    <xf numFmtId="0" fontId="11" fillId="67" borderId="0" applyAlignment="1" pivotButton="0" quotePrefix="0" xfId="0">
      <alignment horizontal="center"/>
    </xf>
    <xf numFmtId="0" fontId="11" fillId="53" borderId="0" applyAlignment="1" pivotButton="0" quotePrefix="0" xfId="0">
      <alignment horizontal="center"/>
    </xf>
    <xf numFmtId="0" fontId="11" fillId="70" borderId="0" pivotButton="0" quotePrefix="0" xfId="0"/>
    <xf numFmtId="0" fontId="11" fillId="70" borderId="0" applyAlignment="1" pivotButton="0" quotePrefix="0" xfId="0">
      <alignment horizontal="center"/>
    </xf>
    <xf numFmtId="0" fontId="51" fillId="48" borderId="0" pivotButton="0" quotePrefix="0" xfId="0"/>
    <xf numFmtId="0" fontId="51" fillId="53" borderId="0" pivotButton="0" quotePrefix="0" xfId="0"/>
    <xf numFmtId="0" fontId="51" fillId="70" borderId="0" pivotButton="0" quotePrefix="0" xfId="0"/>
    <xf numFmtId="165" fontId="0" fillId="53" borderId="0" pivotButton="0" quotePrefix="0" xfId="0"/>
    <xf numFmtId="0" fontId="0" fillId="70" borderId="0" pivotButton="0" quotePrefix="0" xfId="0"/>
    <xf numFmtId="0" fontId="37" fillId="0" borderId="0" pivotButton="0" quotePrefix="1" xfId="0"/>
    <xf numFmtId="0" fontId="38" fillId="0" borderId="0" pivotButton="0" quotePrefix="1" xfId="0"/>
    <xf numFmtId="0" fontId="52" fillId="0" borderId="0" pivotButton="0" quotePrefix="0" xfId="0"/>
    <xf numFmtId="0" fontId="35" fillId="48" borderId="0" pivotButton="0" quotePrefix="0" xfId="0"/>
    <xf numFmtId="0" fontId="53" fillId="0" borderId="0" pivotButton="0" quotePrefix="0" xfId="0"/>
    <xf numFmtId="168" fontId="0" fillId="0" borderId="0" pivotButton="0" quotePrefix="0" xfId="0"/>
    <xf numFmtId="16" fontId="0" fillId="0" borderId="0" pivotButton="0" quotePrefix="0" xfId="0"/>
    <xf numFmtId="16" fontId="20" fillId="53" borderId="0" pivotButton="0" quotePrefix="0" xfId="0"/>
    <xf numFmtId="168" fontId="11" fillId="0" borderId="0" pivotButton="0" quotePrefix="0" xfId="0"/>
    <xf numFmtId="0" fontId="11" fillId="57" borderId="0" pivotButton="0" quotePrefix="0" xfId="0"/>
    <xf numFmtId="0" fontId="35" fillId="53" borderId="0" pivotButton="0" quotePrefix="0" xfId="0"/>
    <xf numFmtId="0" fontId="11" fillId="65" borderId="0" pivotButton="0" quotePrefix="0" xfId="0"/>
    <xf numFmtId="178" fontId="20" fillId="53" borderId="0" pivotButton="0" quotePrefix="0" xfId="0"/>
    <xf numFmtId="179" fontId="0" fillId="0" borderId="0" pivotButton="0" quotePrefix="0" xfId="0"/>
    <xf numFmtId="0" fontId="54" fillId="0" borderId="0" pivotButton="0" quotePrefix="0" xfId="0"/>
    <xf numFmtId="0" fontId="55" fillId="0" borderId="0" pivotButton="0" quotePrefix="0" xfId="0"/>
    <xf numFmtId="167" fontId="0" fillId="52" borderId="0" pivotButton="0" quotePrefix="0" xfId="0"/>
    <xf numFmtId="179" fontId="0" fillId="52" borderId="0" pivotButton="0" quotePrefix="0" xfId="0"/>
    <xf numFmtId="164" fontId="11" fillId="0" borderId="0" pivotButton="0" quotePrefix="0" xfId="0"/>
    <xf numFmtId="0" fontId="56" fillId="0" borderId="0" pivotButton="0" quotePrefix="0" xfId="0"/>
    <xf numFmtId="0" fontId="35" fillId="61" borderId="0" pivotButton="0" quotePrefix="0" xfId="0"/>
    <xf numFmtId="180" fontId="0" fillId="0" borderId="0" pivotButton="0" quotePrefix="0" xfId="0"/>
    <xf numFmtId="181" fontId="0" fillId="0" borderId="0" pivotButton="0" quotePrefix="0" xfId="0"/>
    <xf numFmtId="0" fontId="59" fillId="0" borderId="0" pivotButton="0" quotePrefix="0" xfId="0"/>
    <xf numFmtId="0" fontId="11" fillId="61" borderId="0" pivotButton="0" quotePrefix="0" xfId="0"/>
    <xf numFmtId="0" fontId="21" fillId="49" borderId="0" pivotButton="0" quotePrefix="0" xfId="0"/>
    <xf numFmtId="2" fontId="20" fillId="53" borderId="0" pivotButton="0" quotePrefix="0" xfId="0"/>
    <xf numFmtId="0" fontId="60" fillId="0" borderId="0" pivotButton="0" quotePrefix="0" xfId="0"/>
    <xf numFmtId="0" fontId="61" fillId="0" borderId="0" pivotButton="0" quotePrefix="0" xfId="0"/>
    <xf numFmtId="0" fontId="35" fillId="49" borderId="0" pivotButton="0" quotePrefix="0" xfId="0"/>
    <xf numFmtId="0" fontId="62" fillId="0" borderId="0" pivotButton="0" quotePrefix="0" xfId="0"/>
    <xf numFmtId="0" fontId="11" fillId="49" borderId="0" pivotButton="0" quotePrefix="1" xfId="0"/>
    <xf numFmtId="0" fontId="11" fillId="71" borderId="0" pivotButton="0" quotePrefix="0" xfId="0"/>
    <xf numFmtId="0" fontId="11" fillId="72" borderId="0" pivotButton="0" quotePrefix="0" xfId="0"/>
    <xf numFmtId="0" fontId="11" fillId="73" borderId="0" pivotButton="0" quotePrefix="0" xfId="0"/>
    <xf numFmtId="2" fontId="0" fillId="62" borderId="0" pivotButton="0" quotePrefix="0" xfId="0"/>
    <xf numFmtId="2" fontId="0" fillId="49" borderId="0" pivotButton="0" quotePrefix="0" xfId="0"/>
    <xf numFmtId="165" fontId="11" fillId="0" borderId="0" pivotButton="0" quotePrefix="0" xfId="0"/>
    <xf numFmtId="2" fontId="11" fillId="62" borderId="0" pivotButton="0" quotePrefix="0" xfId="0"/>
    <xf numFmtId="2" fontId="11" fillId="49" borderId="0" pivotButton="0" quotePrefix="0" xfId="0"/>
    <xf numFmtId="2" fontId="0" fillId="56" borderId="0" pivotButton="0" quotePrefix="0" xfId="0"/>
    <xf numFmtId="164" fontId="20" fillId="49" borderId="0" pivotButton="0" quotePrefix="0" xfId="0"/>
    <xf numFmtId="2" fontId="0" fillId="53" borderId="0" pivotButton="0" quotePrefix="0" xfId="0"/>
    <xf numFmtId="0" fontId="63" fillId="0" borderId="0" pivotButton="0" quotePrefix="0" xfId="0"/>
    <xf numFmtId="0" fontId="64" fillId="0" borderId="0" pivotButton="0" quotePrefix="0" xfId="0"/>
    <xf numFmtId="0" fontId="65" fillId="0" borderId="0" pivotButton="0" quotePrefix="0" xfId="0"/>
    <xf numFmtId="0" fontId="66" fillId="46" borderId="0" pivotButton="0" quotePrefix="0" xfId="0"/>
    <xf numFmtId="0" fontId="0" fillId="46" borderId="0" pivotButton="0" quotePrefix="0" xfId="0"/>
    <xf numFmtId="1" fontId="20" fillId="53" borderId="0" pivotButton="0" quotePrefix="0" xfId="0"/>
    <xf numFmtId="0" fontId="66" fillId="74" borderId="0" pivotButton="0" quotePrefix="0" xfId="0"/>
    <xf numFmtId="0" fontId="0" fillId="74" borderId="0" pivotButton="0" quotePrefix="0" xfId="0"/>
    <xf numFmtId="0" fontId="67" fillId="0" borderId="0" pivotButton="0" quotePrefix="0" xfId="0"/>
    <xf numFmtId="164" fontId="67" fillId="0" borderId="0" pivotButton="0" quotePrefix="0" xfId="0"/>
    <xf numFmtId="1" fontId="11" fillId="0" borderId="0" pivotButton="0" quotePrefix="0" xfId="0"/>
    <xf numFmtId="0" fontId="66" fillId="75" borderId="0" pivotButton="0" quotePrefix="0" xfId="0"/>
    <xf numFmtId="0" fontId="0" fillId="75" borderId="0" pivotButton="0" quotePrefix="0" xfId="0"/>
    <xf numFmtId="0" fontId="66" fillId="76" borderId="0" pivotButton="0" quotePrefix="0" xfId="0"/>
    <xf numFmtId="0" fontId="0" fillId="76" borderId="0" pivotButton="0" quotePrefix="0" xfId="0"/>
    <xf numFmtId="0" fontId="66" fillId="77" borderId="0" pivotButton="0" quotePrefix="0" xfId="0"/>
    <xf numFmtId="0" fontId="0" fillId="77" borderId="0" pivotButton="0" quotePrefix="0" xfId="0"/>
    <xf numFmtId="0" fontId="66" fillId="78" borderId="0" pivotButton="0" quotePrefix="0" xfId="0"/>
    <xf numFmtId="0" fontId="0" fillId="78" borderId="0" pivotButton="0" quotePrefix="0" xfId="0"/>
    <xf numFmtId="0" fontId="66" fillId="79" borderId="0" pivotButton="0" quotePrefix="0" xfId="0"/>
    <xf numFmtId="0" fontId="0" fillId="79" borderId="0" pivotButton="0" quotePrefix="0" xfId="0"/>
    <xf numFmtId="0" fontId="35" fillId="0" borderId="0" pivotButton="0" quotePrefix="0" xfId="0"/>
    <xf numFmtId="0" fontId="35" fillId="80" borderId="0" pivotButton="0" quotePrefix="0" xfId="0"/>
    <xf numFmtId="179" fontId="68" fillId="49" borderId="0" pivotButton="0" quotePrefix="0" xfId="0"/>
    <xf numFmtId="0" fontId="69" fillId="0" borderId="0" pivotButton="0" quotePrefix="0" xfId="0"/>
    <xf numFmtId="0" fontId="71" fillId="47" borderId="0" pivotButton="0" quotePrefix="0" xfId="0"/>
    <xf numFmtId="0" fontId="70" fillId="0" borderId="0" pivotButton="0" quotePrefix="0" xfId="0"/>
    <xf numFmtId="0" fontId="0" fillId="0" borderId="0" pivotButton="0" quotePrefix="1" xfId="0"/>
    <xf numFmtId="0" fontId="72" fillId="0" borderId="0" pivotButton="0" quotePrefix="0" xfId="0"/>
    <xf numFmtId="179" fontId="73" fillId="49" borderId="0" pivotButton="0" quotePrefix="0" xfId="0"/>
    <xf numFmtId="0" fontId="74" fillId="0" borderId="0" pivotButton="0" quotePrefix="0" xfId="0"/>
    <xf numFmtId="0" fontId="75" fillId="0" borderId="0" pivotButton="0" quotePrefix="0" xfId="0"/>
    <xf numFmtId="0" fontId="66" fillId="81" borderId="0" pivotButton="0" quotePrefix="0" xfId="0"/>
    <xf numFmtId="0" fontId="0" fillId="81" borderId="0" pivotButton="0" quotePrefix="0" xfId="0"/>
    <xf numFmtId="14" fontId="0" fillId="0" borderId="0" pivotButton="0" quotePrefix="0" xfId="0"/>
    <xf numFmtId="20" fontId="0" fillId="0" borderId="0" pivotButton="0" quotePrefix="0" xfId="0"/>
    <xf numFmtId="0" fontId="11" fillId="82" borderId="0" pivotButton="0" quotePrefix="0" xfId="0"/>
    <xf numFmtId="3" fontId="21" fillId="53" borderId="0" pivotButton="0" quotePrefix="0" xfId="0"/>
    <xf numFmtId="0" fontId="76" fillId="0" borderId="0" pivotButton="0" quotePrefix="0" xfId="0"/>
    <xf numFmtId="182" fontId="0" fillId="0" borderId="0" pivotButton="0" quotePrefix="0" xfId="0"/>
    <xf numFmtId="183" fontId="0" fillId="0" borderId="0" pivotButton="0" quotePrefix="0" xfId="0"/>
    <xf numFmtId="0" fontId="35" fillId="63" borderId="0" pivotButton="0" quotePrefix="0" xfId="0"/>
    <xf numFmtId="11" fontId="20" fillId="53" borderId="0" pivotButton="0" quotePrefix="0" xfId="0"/>
    <xf numFmtId="178" fontId="0" fillId="0" borderId="0" pivotButton="0" quotePrefix="0" xfId="0"/>
    <xf numFmtId="184" fontId="0" fillId="0" borderId="0" pivotButton="0" quotePrefix="0" xfId="0"/>
    <xf numFmtId="185" fontId="0" fillId="0" borderId="0" pivotButton="0" quotePrefix="0" xfId="0"/>
    <xf numFmtId="167" fontId="20" fillId="53" borderId="0" pivotButton="0" quotePrefix="0" xfId="0"/>
    <xf numFmtId="0" fontId="35" fillId="84" borderId="0" pivotButton="0" quotePrefix="0" xfId="0"/>
    <xf numFmtId="0" fontId="66" fillId="85" borderId="0" pivotButton="0" quotePrefix="0" xfId="0"/>
    <xf numFmtId="0" fontId="0" fillId="85" borderId="0" pivotButton="0" quotePrefix="0" xfId="0"/>
    <xf numFmtId="9" fontId="20" fillId="53" borderId="0" pivotButton="0" quotePrefix="0" xfId="0"/>
    <xf numFmtId="0" fontId="66" fillId="54" borderId="0" pivotButton="0" quotePrefix="0" xfId="0"/>
    <xf numFmtId="0" fontId="0" fillId="54" borderId="0" pivotButton="0" quotePrefix="0" xfId="0"/>
    <xf numFmtId="0" fontId="77" fillId="46" borderId="0" pivotButton="0" quotePrefix="0" xfId="0"/>
    <xf numFmtId="0" fontId="71" fillId="0" borderId="0" pivotButton="0" quotePrefix="0" xfId="0"/>
    <xf numFmtId="0" fontId="71" fillId="49" borderId="0" pivotButton="0" quotePrefix="0" xfId="0"/>
    <xf numFmtId="0" fontId="77" fillId="74" borderId="0" pivotButton="0" quotePrefix="0" xfId="0"/>
    <xf numFmtId="0" fontId="71" fillId="48" borderId="0" pivotButton="0" quotePrefix="0" xfId="0"/>
    <xf numFmtId="0" fontId="78" fillId="0" borderId="0" pivotButton="0" quotePrefix="0" xfId="0"/>
    <xf numFmtId="0" fontId="79" fillId="0" borderId="0" pivotButton="0" quotePrefix="0" xfId="0"/>
    <xf numFmtId="49" fontId="21" fillId="47" borderId="0" pivotButton="0" quotePrefix="0" xfId="0"/>
    <xf numFmtId="0" fontId="66" fillId="86" borderId="0" pivotButton="0" quotePrefix="0" xfId="0"/>
    <xf numFmtId="0" fontId="0" fillId="86" borderId="0" pivotButton="0" quotePrefix="0" xfId="0"/>
    <xf numFmtId="0" fontId="0" fillId="84" borderId="0" pivotButton="0" quotePrefix="0" xfId="0"/>
    <xf numFmtId="3" fontId="0" fillId="84" borderId="0" pivotButton="0" quotePrefix="0" xfId="0"/>
    <xf numFmtId="0" fontId="80" fillId="0" borderId="0" pivotButton="0" quotePrefix="0" xfId="0"/>
    <xf numFmtId="0" fontId="81" fillId="0" borderId="0" pivotButton="0" quotePrefix="0" xfId="0"/>
    <xf numFmtId="0" fontId="82" fillId="0" borderId="0" pivotButton="0" quotePrefix="0" xfId="0"/>
    <xf numFmtId="0" fontId="83" fillId="0" borderId="0" pivotButton="0" quotePrefix="0" xfId="0"/>
    <xf numFmtId="0" fontId="84" fillId="77" borderId="0" pivotButton="0" quotePrefix="0" xfId="0"/>
    <xf numFmtId="0" fontId="85" fillId="87" borderId="0" pivotButton="0" quotePrefix="0" xfId="0"/>
    <xf numFmtId="0" fontId="85" fillId="87" borderId="26" pivotButton="0" quotePrefix="0" xfId="1"/>
    <xf numFmtId="0" fontId="65" fillId="0" borderId="26" pivotButton="0" quotePrefix="0" xfId="1"/>
    <xf numFmtId="0" fontId="11" fillId="53" borderId="26" pivotButton="0" quotePrefix="0" xfId="1"/>
    <xf numFmtId="0" fontId="19" fillId="0" borderId="26" pivotButton="0" quotePrefix="1" xfId="1"/>
    <xf numFmtId="0" fontId="85" fillId="88" borderId="0" pivotButton="0" quotePrefix="0" xfId="0"/>
    <xf numFmtId="0" fontId="11" fillId="89" borderId="0" pivotButton="0" quotePrefix="0" xfId="0"/>
    <xf numFmtId="0" fontId="85" fillId="88" borderId="26" pivotButton="0" quotePrefix="0" xfId="1"/>
    <xf numFmtId="0" fontId="11" fillId="89" borderId="26" pivotButton="0" quotePrefix="0" xfId="1"/>
    <xf numFmtId="0" fontId="86" fillId="0" borderId="0" pivotButton="0" quotePrefix="0" xfId="0"/>
    <xf numFmtId="0" fontId="87" fillId="53" borderId="0" pivotButton="0" quotePrefix="0" xfId="0"/>
    <xf numFmtId="0" fontId="88" fillId="88" borderId="0" pivotButton="0" quotePrefix="0" xfId="0"/>
    <xf numFmtId="0" fontId="86" fillId="0" borderId="0" pivotButton="0" quotePrefix="1" xfId="0"/>
    <xf numFmtId="0" fontId="87" fillId="89" borderId="0" pivotButton="0" quotePrefix="0" xfId="0"/>
    <xf numFmtId="2" fontId="2" fillId="3" borderId="0" applyAlignment="1" pivotButton="0" quotePrefix="0" xfId="0">
      <alignment horizontal="left" vertical="center" wrapText="1"/>
    </xf>
    <xf numFmtId="0" fontId="0" fillId="0" borderId="0" pivotButton="0" quotePrefix="0" xfId="0"/>
    <xf numFmtId="2" fontId="2" fillId="3" borderId="0" applyAlignment="1" pivotButton="0" quotePrefix="0" xfId="0">
      <alignment horizontal="left" vertical="center"/>
    </xf>
    <xf numFmtId="0" fontId="2" fillId="2" borderId="8" applyAlignment="1" pivotButton="0" quotePrefix="0" xfId="0">
      <alignment vertical="center" wrapText="1"/>
    </xf>
    <xf numFmtId="0" fontId="4" fillId="0" borderId="9" pivotButton="0" quotePrefix="0" xfId="0"/>
    <xf numFmtId="0" fontId="4" fillId="0" borderId="10" pivotButton="0" quotePrefix="0" xfId="0"/>
    <xf numFmtId="0" fontId="4" fillId="0" borderId="0" applyAlignment="1" pivotButton="0" quotePrefix="0" xfId="0">
      <alignment vertical="center" wrapText="1"/>
    </xf>
    <xf numFmtId="0" fontId="2" fillId="28" borderId="8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/>
    </xf>
    <xf numFmtId="0" fontId="2" fillId="9" borderId="8" applyAlignment="1" pivotButton="0" quotePrefix="0" xfId="0">
      <alignment vertical="center" wrapText="1"/>
    </xf>
    <xf numFmtId="49" fontId="11" fillId="3" borderId="21" applyAlignment="1" pivotButton="0" quotePrefix="0" xfId="0">
      <alignment horizontal="center"/>
    </xf>
    <xf numFmtId="0" fontId="4" fillId="0" borderId="22" pivotButton="0" quotePrefix="0" xfId="0"/>
    <xf numFmtId="0" fontId="4" fillId="0" borderId="23" pivotButton="0" quotePrefix="0" xfId="0"/>
    <xf numFmtId="49" fontId="11" fillId="38" borderId="25" applyAlignment="1" pivotButton="0" quotePrefix="0" xfId="0">
      <alignment horizontal="center"/>
    </xf>
    <xf numFmtId="0" fontId="4" fillId="0" borderId="26" pivotButton="0" quotePrefix="0" xfId="0"/>
    <xf numFmtId="49" fontId="11" fillId="38" borderId="25" pivotButton="0" quotePrefix="0" xfId="0"/>
    <xf numFmtId="0" fontId="35" fillId="62" borderId="0" applyAlignment="1" pivotButton="0" quotePrefix="0" xfId="0">
      <alignment horizontal="center"/>
    </xf>
    <xf numFmtId="0" fontId="35" fillId="64" borderId="0" applyAlignment="1" pivotButton="0" quotePrefix="0" xfId="0">
      <alignment horizontal="center"/>
    </xf>
    <xf numFmtId="0" fontId="35" fillId="64" borderId="0" applyAlignment="1" pivotButton="0" quotePrefix="0" xfId="0">
      <alignment horizontal="center" wrapText="1"/>
    </xf>
    <xf numFmtId="0" fontId="35" fillId="62" borderId="0" applyAlignment="1" pivotButton="0" quotePrefix="0" xfId="0">
      <alignment horizontal="center" wrapText="1"/>
    </xf>
    <xf numFmtId="0" fontId="0" fillId="0" borderId="37" pivotButton="0" quotePrefix="0" xfId="0"/>
    <xf numFmtId="0" fontId="0" fillId="0" borderId="43" pivotButton="0" quotePrefix="0" xfId="0"/>
    <xf numFmtId="0" fontId="0" fillId="0" borderId="41" pivotButton="0" quotePrefix="0" xfId="0"/>
    <xf numFmtId="0" fontId="0" fillId="0" borderId="44" pivotButton="0" quotePrefix="0" xfId="0"/>
    <xf numFmtId="0" fontId="0" fillId="0" borderId="26" pivotButton="0" quotePrefix="0" xfId="0"/>
    <xf numFmtId="0" fontId="0" fillId="0" borderId="45" pivotButton="0" quotePrefix="0" xfId="0"/>
    <xf numFmtId="0" fontId="0" fillId="0" borderId="46" pivotButton="0" quotePrefix="0" xfId="0"/>
    <xf numFmtId="0" fontId="0" fillId="0" borderId="47" pivotButton="0" quotePrefix="0" xfId="0"/>
    <xf numFmtId="0" fontId="0" fillId="0" borderId="48" pivotButton="0" quotePrefix="0" xfId="0"/>
    <xf numFmtId="0" fontId="24" fillId="83" borderId="0" applyAlignment="1" pivotButton="0" quotePrefix="0" xfId="0">
      <alignment horizontal="center"/>
    </xf>
    <xf numFmtId="0" fontId="89" fillId="0" borderId="0" applyAlignment="1" pivotButton="0" quotePrefix="0" xfId="0">
      <alignment vertical="top" wrapText="1"/>
    </xf>
    <xf numFmtId="0" fontId="85" fillId="87" borderId="0" applyAlignment="1" pivotButton="0" quotePrefix="0" xfId="0">
      <alignment horizontal="center"/>
    </xf>
    <xf numFmtId="0" fontId="85" fillId="88" borderId="0" applyAlignment="1" pivotButton="0" quotePrefix="0" xfId="0">
      <alignment horizontal="center"/>
    </xf>
    <xf numFmtId="0" fontId="35" fillId="62" borderId="26" applyAlignment="1" pivotButton="0" quotePrefix="0" xfId="0">
      <alignment horizontal="center"/>
    </xf>
    <xf numFmtId="0" fontId="35" fillId="64" borderId="26" applyAlignment="1" pivotButton="0" quotePrefix="0" xfId="0">
      <alignment horizontal="center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2"/>
  <sheetViews>
    <sheetView workbookViewId="0">
      <selection activeCell="U30" sqref="U30"/>
    </sheetView>
  </sheetViews>
  <sheetFormatPr baseColWidth="8" defaultRowHeight="12.75"/>
  <cols>
    <col width="137.140625" customWidth="1" style="817" min="1" max="1"/>
    <col width="15.28515625" customWidth="1" style="817" min="7" max="7"/>
    <col width="3.85546875" customWidth="1" style="817" min="8" max="8"/>
    <col width="7.7109375" customWidth="1" style="817" min="9" max="9"/>
    <col width="10.7109375" bestFit="1" customWidth="1" style="817" min="10" max="10"/>
    <col width="12.42578125" bestFit="1" customWidth="1" style="817" min="11" max="11"/>
    <col width="5.85546875" customWidth="1" style="817" min="13" max="13"/>
    <col width="10.7109375" bestFit="1" customWidth="1" style="817" min="14" max="14"/>
    <col width="12.42578125" bestFit="1" customWidth="1" style="817" min="15" max="15"/>
    <col width="6.140625" customWidth="1" style="817" min="17" max="17"/>
    <col width="10.7109375" bestFit="1" customWidth="1" style="817" min="18" max="18"/>
    <col width="12.42578125" bestFit="1" customWidth="1" style="817" min="19" max="19"/>
    <col width="19.42578125" customWidth="1" style="817" min="21" max="21"/>
    <col width="27.7109375" bestFit="1" customWidth="1" style="817" min="22" max="22"/>
    <col width="24.7109375" bestFit="1" customWidth="1" style="817" min="23" max="23"/>
  </cols>
  <sheetData>
    <row r="1" ht="18" customHeight="1" s="817">
      <c r="A1" s="470" t="inlineStr">
        <is>
          <t>Slit-Tongue Drum — CNC Design &amp; DOE Protocol</t>
        </is>
      </c>
      <c r="I1" s="850" t="inlineStr">
        <is>
          <t>THREE DRUM DESIGNS</t>
        </is>
      </c>
      <c r="U1" s="851" t="inlineStr">
        <is>
          <t>DOE PROTOCOL — Cantilever Scaling Validation</t>
        </is>
      </c>
    </row>
    <row r="2">
      <c r="A2" s="537" t="inlineStr">
        <is>
          <t>Cantilever Beam Model: f = K × t / L²  ·  tonykoop/tongue-drum</t>
        </is>
      </c>
      <c r="U2" s="472" t="inlineStr">
        <is>
          <t>Factor</t>
        </is>
      </c>
      <c r="V2" s="472" t="inlineStr">
        <is>
          <t>Levels</t>
        </is>
      </c>
      <c r="W2" s="472" t="inlineStr">
        <is>
          <t>Notes</t>
        </is>
      </c>
    </row>
    <row r="3" ht="15" customHeight="1" s="817">
      <c r="I3" s="545" t="inlineStr">
        <is>
          <t>SMALL (Magazine Baseline)</t>
        </is>
      </c>
      <c r="M3" s="472" t="inlineStr">
        <is>
          <t>MEDIUM (Bilateral Design)</t>
        </is>
      </c>
      <c r="Q3" s="472" t="inlineStr">
        <is>
          <t>LARGE (Extended Range)</t>
        </is>
      </c>
      <c r="U3" t="inlineStr">
        <is>
          <t>A: Material</t>
        </is>
      </c>
      <c r="V3" t="inlineStr">
        <is>
          <t>3: Padauk, Walnut, Baltic Birch</t>
        </is>
      </c>
      <c r="W3" t="inlineStr">
        <is>
          <t>Spans E/ρ range</t>
        </is>
      </c>
    </row>
    <row r="4" ht="15.75" customHeight="1" s="817">
      <c r="A4" s="660" t="inlineStr">
        <is>
          <t>MATERIAL LIBRARY</t>
        </is>
      </c>
      <c r="I4" s="537" t="inlineStr">
        <is>
          <t>6"×9" box, 1/4" top, 8 tongues</t>
        </is>
      </c>
      <c r="M4" s="641" t="inlineStr">
        <is>
          <t>9"×12" box, 3/8" top, 12 tongues (6/side)</t>
        </is>
      </c>
      <c r="Q4" s="641" t="inlineStr">
        <is>
          <t>12"×18" box, 1/2" top, 16 tongues</t>
        </is>
      </c>
      <c r="U4" t="inlineStr">
        <is>
          <t>B: Thickness</t>
        </is>
      </c>
      <c r="V4" t="inlineStr">
        <is>
          <t>3: 1/4", 3/8", 1/2"</t>
        </is>
      </c>
      <c r="W4" t="inlineStr">
        <is>
          <t>Standard lumber dims</t>
        </is>
      </c>
    </row>
    <row r="5">
      <c r="A5" s="484" t="inlineStr">
        <is>
          <t>Wood Species</t>
        </is>
      </c>
      <c r="B5" s="484" t="inlineStr">
        <is>
          <t>E (GPa)</t>
        </is>
      </c>
      <c r="C5" s="484" t="inlineStr">
        <is>
          <t>ρ (kg/m³)</t>
        </is>
      </c>
      <c r="D5" s="484" t="inlineStr">
        <is>
          <t>K (imperial)</t>
        </is>
      </c>
      <c r="E5" s="484" t="inlineStr">
        <is>
          <t>Color</t>
        </is>
      </c>
      <c r="F5" s="484" t="inlineStr">
        <is>
          <t>Tonewoood Rating</t>
        </is>
      </c>
      <c r="I5" s="472" t="inlineStr">
        <is>
          <t>Thickness:</t>
        </is>
      </c>
      <c r="J5" s="596" t="n">
        <v>0.25</v>
      </c>
      <c r="M5" s="472" t="inlineStr">
        <is>
          <t>Thickness:</t>
        </is>
      </c>
      <c r="N5" s="596" t="n">
        <v>0.375</v>
      </c>
      <c r="Q5" s="472" t="inlineStr">
        <is>
          <t>Thickness:</t>
        </is>
      </c>
      <c r="R5" s="596" t="n">
        <v>0.5</v>
      </c>
      <c r="U5" t="inlineStr">
        <is>
          <t>C: Target Freq</t>
        </is>
      </c>
      <c r="V5" t="inlineStr">
        <is>
          <t>5: C3, G3, C4, G4, C5</t>
        </is>
      </c>
      <c r="W5" t="inlineStr">
        <is>
          <t>2-octave range</t>
        </is>
      </c>
    </row>
    <row r="6">
      <c r="A6" s="661" t="inlineStr">
        <is>
          <t>Padauk</t>
        </is>
      </c>
      <c r="B6" s="481" t="n">
        <v>11</v>
      </c>
      <c r="C6" t="n">
        <v>745</v>
      </c>
      <c r="D6" s="662" t="n">
        <v>24438</v>
      </c>
      <c r="E6" t="inlineStr">
        <is>
          <t>Red-Orange</t>
        </is>
      </c>
      <c r="F6" t="inlineStr">
        <is>
          <t>★★★★★</t>
        </is>
      </c>
      <c r="U6" t="inlineStr">
        <is>
          <t>D: Width</t>
        </is>
      </c>
      <c r="V6" t="inlineStr">
        <is>
          <t>2: 0.75", 1.0"</t>
        </is>
      </c>
      <c r="W6" t="inlineStr">
        <is>
          <t>Control for volume</t>
        </is>
      </c>
    </row>
    <row r="7">
      <c r="A7" t="inlineStr">
        <is>
          <t>Wenge</t>
        </is>
      </c>
      <c r="B7" s="481" t="n">
        <v>15.8</v>
      </c>
      <c r="C7" t="n">
        <v>870</v>
      </c>
      <c r="D7" s="662" t="n">
        <v>27103</v>
      </c>
      <c r="E7" t="inlineStr">
        <is>
          <t>Dark Brown</t>
        </is>
      </c>
      <c r="F7" t="inlineStr">
        <is>
          <t>★★★★★</t>
        </is>
      </c>
      <c r="I7" s="472" t="inlineStr">
        <is>
          <t>Note</t>
        </is>
      </c>
      <c r="J7" s="472" t="inlineStr">
        <is>
          <t>Length (in)</t>
        </is>
      </c>
      <c r="K7" s="472" t="inlineStr">
        <is>
          <t>Length (mm)</t>
        </is>
      </c>
      <c r="M7" s="472" t="inlineStr">
        <is>
          <t>Note</t>
        </is>
      </c>
      <c r="N7" s="472" t="inlineStr">
        <is>
          <t>Length (in)</t>
        </is>
      </c>
      <c r="O7" s="472" t="inlineStr">
        <is>
          <t>Length (mm)</t>
        </is>
      </c>
      <c r="Q7" s="472" t="inlineStr">
        <is>
          <t>Note</t>
        </is>
      </c>
      <c r="R7" s="472" t="inlineStr">
        <is>
          <t>Length (in)</t>
        </is>
      </c>
      <c r="S7" s="472" t="inlineStr">
        <is>
          <t>Length (mm)</t>
        </is>
      </c>
      <c r="U7" t="inlineStr">
        <is>
          <t>E: Slit Width</t>
        </is>
      </c>
      <c r="V7" t="inlineStr">
        <is>
          <t>2: 1/8", 3/16"</t>
        </is>
      </c>
      <c r="W7" t="inlineStr">
        <is>
          <t>CNC bit options</t>
        </is>
      </c>
    </row>
    <row r="8">
      <c r="A8" t="inlineStr">
        <is>
          <t>Hard Maple</t>
        </is>
      </c>
      <c r="B8" s="481" t="n">
        <v>12.6</v>
      </c>
      <c r="C8" t="n">
        <v>705</v>
      </c>
      <c r="D8" s="662" t="n">
        <v>26887</v>
      </c>
      <c r="E8" t="inlineStr">
        <is>
          <t>Cream</t>
        </is>
      </c>
      <c r="F8" t="inlineStr">
        <is>
          <t>★★★★</t>
        </is>
      </c>
      <c r="I8" t="inlineStr">
        <is>
          <t>D4</t>
        </is>
      </c>
      <c r="J8" s="482">
        <f>SQRT($B$18*J5/(440*2^((62-69)/12)))</f>
        <v/>
      </c>
      <c r="K8" s="481">
        <f>J8*25.4</f>
        <v/>
      </c>
      <c r="M8" s="472" t="inlineStr">
        <is>
          <t>G3</t>
        </is>
      </c>
      <c r="N8" s="482">
        <f>SQRT($B$18*N5/(440*2^((55-69)/12)))</f>
        <v/>
      </c>
      <c r="O8" s="481">
        <f>N8*25.4</f>
        <v/>
      </c>
      <c r="Q8" s="472" t="inlineStr">
        <is>
          <t>C3</t>
        </is>
      </c>
      <c r="R8" s="482">
        <f>SQRT($B$18*R5/(440*2^((48-69)/12)))</f>
        <v/>
      </c>
      <c r="S8" s="481">
        <f>R8*25.4</f>
        <v/>
      </c>
    </row>
    <row r="9">
      <c r="A9" t="inlineStr">
        <is>
          <t>Cherry</t>
        </is>
      </c>
      <c r="B9" s="481" t="n">
        <v>10.3</v>
      </c>
      <c r="C9" t="n">
        <v>560</v>
      </c>
      <c r="D9" s="662" t="n">
        <v>27275</v>
      </c>
      <c r="E9" t="inlineStr">
        <is>
          <t>Pink-Brown</t>
        </is>
      </c>
      <c r="F9" t="inlineStr">
        <is>
          <t>★★★★</t>
        </is>
      </c>
      <c r="I9" t="inlineStr">
        <is>
          <t>E4</t>
        </is>
      </c>
      <c r="J9" s="482">
        <f>SQRT($B$18*J5/(440*2^((64-69)/12)))</f>
        <v/>
      </c>
      <c r="K9" s="481">
        <f>J9*25.4</f>
        <v/>
      </c>
      <c r="M9" s="472" t="inlineStr">
        <is>
          <t>A3</t>
        </is>
      </c>
      <c r="N9" s="482">
        <f>SQRT($B$18*N5/(440*2^((57-69)/12)))</f>
        <v/>
      </c>
      <c r="O9" s="481">
        <f>N9*25.4</f>
        <v/>
      </c>
      <c r="Q9" s="472" t="inlineStr">
        <is>
          <t>D3</t>
        </is>
      </c>
      <c r="R9" s="482">
        <f>SQRT($B$18*R5/(440*2^((50-69)/12)))</f>
        <v/>
      </c>
      <c r="S9" s="481">
        <f>R9*25.4</f>
        <v/>
      </c>
      <c r="U9" s="472" t="inlineStr">
        <is>
          <t>Response Variables</t>
        </is>
      </c>
      <c r="V9" s="472" t="n"/>
      <c r="W9" s="472" t="inlineStr">
        <is>
          <t>Measurement Method</t>
        </is>
      </c>
    </row>
    <row r="10">
      <c r="A10" t="inlineStr">
        <is>
          <t>Black Walnut</t>
        </is>
      </c>
      <c r="B10" s="481" t="n">
        <v>11.6</v>
      </c>
      <c r="C10" t="n">
        <v>610</v>
      </c>
      <c r="D10" s="662" t="n">
        <v>27734</v>
      </c>
      <c r="E10" t="inlineStr">
        <is>
          <t>Dark Brown</t>
        </is>
      </c>
      <c r="F10" t="inlineStr">
        <is>
          <t>★★★★</t>
        </is>
      </c>
      <c r="I10" t="inlineStr">
        <is>
          <t>F4</t>
        </is>
      </c>
      <c r="J10" s="482">
        <f>SQRT($B$18*J5/(440*2^((65-69)/12)))</f>
        <v/>
      </c>
      <c r="K10" s="481">
        <f>J10*25.4</f>
        <v/>
      </c>
      <c r="M10" s="472" t="inlineStr">
        <is>
          <t>B3</t>
        </is>
      </c>
      <c r="N10" s="482">
        <f>SQRT($B$18*N5/(440*2^((59-69)/12)))</f>
        <v/>
      </c>
      <c r="O10" s="481">
        <f>N10*25.4</f>
        <v/>
      </c>
      <c r="Q10" s="472" t="inlineStr">
        <is>
          <t>E3</t>
        </is>
      </c>
      <c r="R10" s="482">
        <f>SQRT($B$18*R5/(440*2^((52-69)/12)))</f>
        <v/>
      </c>
      <c r="S10" s="481">
        <f>R10*25.4</f>
        <v/>
      </c>
      <c r="U10" t="inlineStr">
        <is>
          <t>Measured Freq (Hz)</t>
        </is>
      </c>
      <c r="W10" t="inlineStr">
        <is>
          <t>Chromatic tuner</t>
        </is>
      </c>
    </row>
    <row r="11">
      <c r="A11" t="inlineStr">
        <is>
          <t>White Oak</t>
        </is>
      </c>
      <c r="B11" s="481" t="n">
        <v>12.3</v>
      </c>
      <c r="C11" t="n">
        <v>770</v>
      </c>
      <c r="D11" s="662" t="n">
        <v>25419</v>
      </c>
      <c r="E11" t="inlineStr">
        <is>
          <t>Tan</t>
        </is>
      </c>
      <c r="F11" t="inlineStr">
        <is>
          <t>★★★</t>
        </is>
      </c>
      <c r="I11" t="inlineStr">
        <is>
          <t>G4</t>
        </is>
      </c>
      <c r="J11" s="482">
        <f>SQRT($B$18*J5/(440*2^((67-69)/12)))</f>
        <v/>
      </c>
      <c r="K11" s="481">
        <f>J11*25.4</f>
        <v/>
      </c>
      <c r="M11" s="472" t="inlineStr">
        <is>
          <t>C4</t>
        </is>
      </c>
      <c r="N11" s="482">
        <f>SQRT($B$18*N5/(440*2^((60-69)/12)))</f>
        <v/>
      </c>
      <c r="O11" s="481">
        <f>N11*25.4</f>
        <v/>
      </c>
      <c r="Q11" s="472" t="inlineStr">
        <is>
          <t>F3</t>
        </is>
      </c>
      <c r="R11" s="482">
        <f>SQRT($B$18*R5/(440*2^((53-69)/12)))</f>
        <v/>
      </c>
      <c r="S11" s="481">
        <f>R11*25.4</f>
        <v/>
      </c>
      <c r="U11" t="inlineStr">
        <is>
          <t>Predicted Freq (Hz)</t>
        </is>
      </c>
      <c r="W11" t="inlineStr">
        <is>
          <t>K×t/L² formula</t>
        </is>
      </c>
    </row>
    <row r="12">
      <c r="A12" t="inlineStr">
        <is>
          <t>Baltic Birch Ply</t>
        </is>
      </c>
      <c r="B12" s="481" t="n">
        <v>10</v>
      </c>
      <c r="C12" t="n">
        <v>680</v>
      </c>
      <c r="D12" s="662" t="n">
        <v>24389</v>
      </c>
      <c r="E12" t="inlineStr">
        <is>
          <t>Light Tan</t>
        </is>
      </c>
      <c r="F12" t="inlineStr">
        <is>
          <t>★★★</t>
        </is>
      </c>
      <c r="I12" t="inlineStr">
        <is>
          <t>A4</t>
        </is>
      </c>
      <c r="J12" s="482">
        <f>SQRT($B$18*J5/(440*2^((69-69)/12)))</f>
        <v/>
      </c>
      <c r="K12" s="481">
        <f>J12*25.4</f>
        <v/>
      </c>
      <c r="M12" s="472" t="inlineStr">
        <is>
          <t>D4</t>
        </is>
      </c>
      <c r="N12" s="482">
        <f>SQRT($B$18*N5/(440*2^((62-69)/12)))</f>
        <v/>
      </c>
      <c r="O12" s="481">
        <f>N12*25.4</f>
        <v/>
      </c>
      <c r="Q12" s="472" t="inlineStr">
        <is>
          <t>G3</t>
        </is>
      </c>
      <c r="R12" s="482">
        <f>SQRT($B$18*R5/(440*2^((55-69)/12)))</f>
        <v/>
      </c>
      <c r="S12" s="481">
        <f>R12*25.4</f>
        <v/>
      </c>
      <c r="U12" t="inlineStr">
        <is>
          <t>Error (cents)</t>
        </is>
      </c>
      <c r="W12">
        <f t="array" ref="W12">1200*LOG(meas/pred,2)</f>
        <v/>
      </c>
    </row>
    <row r="13">
      <c r="A13" t="inlineStr">
        <is>
          <t>Mahogany</t>
        </is>
      </c>
      <c r="B13" s="481" t="n">
        <v>10.1</v>
      </c>
      <c r="C13" t="n">
        <v>590</v>
      </c>
      <c r="D13" s="662" t="n">
        <v>26314</v>
      </c>
      <c r="E13" t="inlineStr">
        <is>
          <t>Reddish</t>
        </is>
      </c>
      <c r="F13" t="inlineStr">
        <is>
          <t>★★★★</t>
        </is>
      </c>
      <c r="I13" t="inlineStr">
        <is>
          <t>B4</t>
        </is>
      </c>
      <c r="J13" s="482">
        <f>SQRT($B$18*J5/(440*2^((71-69)/12)))</f>
        <v/>
      </c>
      <c r="K13" s="481">
        <f>J13*25.4</f>
        <v/>
      </c>
      <c r="M13" s="472" t="inlineStr">
        <is>
          <t>E4</t>
        </is>
      </c>
      <c r="N13" s="482">
        <f>SQRT($B$18*N5/(440*2^((64-69)/12)))</f>
        <v/>
      </c>
      <c r="O13" s="481">
        <f>N13*25.4</f>
        <v/>
      </c>
      <c r="Q13" s="472" t="inlineStr">
        <is>
          <t>A3</t>
        </is>
      </c>
      <c r="R13" s="482">
        <f>SQRT($B$18*R5/(440*2^((57-69)/12)))</f>
        <v/>
      </c>
      <c r="S13" s="481">
        <f>R13*25.4</f>
        <v/>
      </c>
      <c r="U13" t="inlineStr">
        <is>
          <t>Sustain (seconds)</t>
        </is>
      </c>
      <c r="W13" t="inlineStr">
        <is>
          <t>Time to -60dB</t>
        </is>
      </c>
    </row>
    <row r="14">
      <c r="A14" t="inlineStr">
        <is>
          <t>Western Red Cedar</t>
        </is>
      </c>
      <c r="B14" s="481" t="n">
        <v>7.7</v>
      </c>
      <c r="C14" t="n">
        <v>370</v>
      </c>
      <c r="D14" s="662" t="n">
        <v>29013</v>
      </c>
      <c r="E14" t="inlineStr">
        <is>
          <t>Red</t>
        </is>
      </c>
      <c r="F14" t="inlineStr">
        <is>
          <t>★★★</t>
        </is>
      </c>
      <c r="I14" t="inlineStr">
        <is>
          <t>C5</t>
        </is>
      </c>
      <c r="J14" s="482">
        <f>SQRT($B$18*J5/(440*2^((72-69)/12)))</f>
        <v/>
      </c>
      <c r="K14" s="481">
        <f>J14*25.4</f>
        <v/>
      </c>
      <c r="M14" s="472" t="inlineStr">
        <is>
          <t>F4</t>
        </is>
      </c>
      <c r="N14" s="482">
        <f>SQRT($B$18*N5/(440*2^((65-69)/12)))</f>
        <v/>
      </c>
      <c r="O14" s="481">
        <f>N14*25.4</f>
        <v/>
      </c>
      <c r="Q14" s="472" t="inlineStr">
        <is>
          <t>B3</t>
        </is>
      </c>
      <c r="R14" s="482">
        <f>SQRT($B$18*R5/(440*2^((59-69)/12)))</f>
        <v/>
      </c>
      <c r="S14" s="481">
        <f>R14*25.4</f>
        <v/>
      </c>
      <c r="U14" t="inlineStr">
        <is>
          <t>Volume (dB SPL)</t>
        </is>
      </c>
      <c r="W14" t="inlineStr">
        <is>
          <t>Sound meter at 1m</t>
        </is>
      </c>
    </row>
    <row r="15">
      <c r="I15" t="inlineStr">
        <is>
          <t>D5</t>
        </is>
      </c>
      <c r="J15" s="482">
        <f>SQRT($B$18*J5/(440*2^((74-69)/12)))</f>
        <v/>
      </c>
      <c r="K15" s="481">
        <f>J15*25.4</f>
        <v/>
      </c>
      <c r="M15" s="472" t="inlineStr">
        <is>
          <t>G4</t>
        </is>
      </c>
      <c r="N15" s="482">
        <f>SQRT($B$18*N5/(440*2^((67-69)/12)))</f>
        <v/>
      </c>
      <c r="O15" s="481">
        <f>N15*25.4</f>
        <v/>
      </c>
      <c r="Q15" s="472" t="inlineStr">
        <is>
          <t>C4</t>
        </is>
      </c>
      <c r="R15" s="482">
        <f>SQRT($B$18*R5/(440*2^((60-69)/12)))</f>
        <v/>
      </c>
      <c r="S15" s="481">
        <f>R15*25.4</f>
        <v/>
      </c>
    </row>
    <row r="16" ht="15.75" customHeight="1" s="817">
      <c r="A16" s="663" t="inlineStr">
        <is>
          <t>TONGUE LENGTH CALCULATOR</t>
        </is>
      </c>
      <c r="M16" s="472" t="inlineStr">
        <is>
          <t>A4</t>
        </is>
      </c>
      <c r="N16" s="482">
        <f>SQRT($B$18*N5/(440*2^((69-69)/12)))</f>
        <v/>
      </c>
      <c r="O16" s="481">
        <f>N16*25.4</f>
        <v/>
      </c>
      <c r="Q16" s="472" t="inlineStr">
        <is>
          <t>D4</t>
        </is>
      </c>
      <c r="R16" s="482">
        <f>SQRT($B$18*R5/(440*2^((62-69)/12)))</f>
        <v/>
      </c>
      <c r="S16" s="481">
        <f>R16*25.4</f>
        <v/>
      </c>
      <c r="U16" s="472" t="inlineStr">
        <is>
          <t>Procedure</t>
        </is>
      </c>
      <c r="V16" s="472" t="n"/>
      <c r="W16" s="472" t="n"/>
    </row>
    <row r="17">
      <c r="A17" s="472" t="inlineStr">
        <is>
          <t>Selected Material</t>
        </is>
      </c>
      <c r="B17" s="564" t="inlineStr">
        <is>
          <t>Padauk</t>
        </is>
      </c>
      <c r="C17" s="598" t="inlineStr">
        <is>
          <t>← Pick from library</t>
        </is>
      </c>
      <c r="M17" s="472" t="inlineStr">
        <is>
          <t>B4</t>
        </is>
      </c>
      <c r="N17" s="482">
        <f>SQRT($B$18*N5/(440*2^((71-69)/12)))</f>
        <v/>
      </c>
      <c r="O17" s="481">
        <f>N17*25.4</f>
        <v/>
      </c>
      <c r="Q17" s="472" t="inlineStr">
        <is>
          <t>E4</t>
        </is>
      </c>
      <c r="R17" s="482">
        <f>SQRT($B$18*R5/(440*2^((64-69)/12)))</f>
        <v/>
      </c>
      <c r="S17" s="481">
        <f>R17*25.4</f>
        <v/>
      </c>
      <c r="U17" t="inlineStr">
        <is>
          <t>1. Cut test tongue to predicted L</t>
        </is>
      </c>
      <c r="W17" t="inlineStr">
        <is>
          <t>Use CNC for precision</t>
        </is>
      </c>
    </row>
    <row r="18">
      <c r="A18" s="472" t="inlineStr">
        <is>
          <t>K Constant</t>
        </is>
      </c>
      <c r="B18" s="662">
        <f>VLOOKUP(B17,A6:D14,4,FALSE)</f>
        <v/>
      </c>
      <c r="M18" s="472" t="inlineStr">
        <is>
          <t>C5</t>
        </is>
      </c>
      <c r="N18" s="482">
        <f>SQRT($B$18*N5/(440*2^((72-69)/12)))</f>
        <v/>
      </c>
      <c r="O18" s="481">
        <f>N18*25.4</f>
        <v/>
      </c>
      <c r="Q18" s="472" t="inlineStr">
        <is>
          <t>F4</t>
        </is>
      </c>
      <c r="R18" s="482">
        <f>SQRT($B$18*R5/(440*2^((65-69)/12)))</f>
        <v/>
      </c>
      <c r="S18" s="481">
        <f>R18*25.4</f>
        <v/>
      </c>
      <c r="U18" t="inlineStr">
        <is>
          <t>2. Measure actual frequency</t>
        </is>
      </c>
      <c r="W18" t="inlineStr">
        <is>
          <t>Tuner app, 3 strikes avg</t>
        </is>
      </c>
    </row>
    <row r="19">
      <c r="A19" s="472" t="inlineStr">
        <is>
          <t>Soundboard Thickness (in)</t>
        </is>
      </c>
      <c r="B19" s="596" t="n">
        <v>0.25</v>
      </c>
      <c r="C19" s="598" t="inlineStr">
        <is>
          <t>← 1/4" = 0.250</t>
        </is>
      </c>
      <c r="M19" s="472" t="inlineStr">
        <is>
          <t>D5</t>
        </is>
      </c>
      <c r="N19" s="482">
        <f>SQRT($B$18*N5/(440*2^((74-69)/12)))</f>
        <v/>
      </c>
      <c r="O19" s="481">
        <f>N19*25.4</f>
        <v/>
      </c>
      <c r="Q19" s="472" t="inlineStr">
        <is>
          <t>G4</t>
        </is>
      </c>
      <c r="R19" s="482">
        <f>SQRT($B$18*R5/(440*2^((67-69)/12)))</f>
        <v/>
      </c>
      <c r="S19" s="481">
        <f>R19*25.4</f>
        <v/>
      </c>
      <c r="U19" t="inlineStr">
        <is>
          <t>3. Record error in cents</t>
        </is>
      </c>
      <c r="W19" t="inlineStr">
        <is>
          <t>Target: |error| &lt; 10¢</t>
        </is>
      </c>
    </row>
    <row r="20">
      <c r="A20" s="472" t="inlineStr">
        <is>
          <t>Tongue Width (in)</t>
        </is>
      </c>
      <c r="B20" s="596" t="n">
        <v>0.75</v>
      </c>
      <c r="C20" s="598" t="inlineStr">
        <is>
          <t>← Affects volume, NOT pitch</t>
        </is>
      </c>
      <c r="Q20" s="472" t="inlineStr">
        <is>
          <t>A4</t>
        </is>
      </c>
      <c r="R20" s="482">
        <f>SQRT($B$18*R5/(440*2^((69-69)/12)))</f>
        <v/>
      </c>
      <c r="S20" s="481">
        <f>R20*25.4</f>
        <v/>
      </c>
      <c r="U20" t="inlineStr">
        <is>
          <t>4. If |error| &gt; 10¢, shorten/file</t>
        </is>
      </c>
      <c r="W20" t="inlineStr">
        <is>
          <t>Re-measure after each pass</t>
        </is>
      </c>
    </row>
    <row r="21">
      <c r="A21" s="472" t="inlineStr">
        <is>
          <t>Slit Width (kerf, in)</t>
        </is>
      </c>
      <c r="B21" s="596" t="n">
        <v>0.125</v>
      </c>
      <c r="C21" s="598" t="inlineStr">
        <is>
          <t>← CNC bit width for slits</t>
        </is>
      </c>
      <c r="Q21" s="472" t="inlineStr">
        <is>
          <t>B4</t>
        </is>
      </c>
      <c r="R21" s="482">
        <f>SQRT($B$18*R5/(440*2^((71-69)/12)))</f>
        <v/>
      </c>
      <c r="S21" s="481">
        <f>R21*25.4</f>
        <v/>
      </c>
      <c r="U21" t="inlineStr">
        <is>
          <t>5. Record final L → back-calc K</t>
        </is>
      </c>
      <c r="W21" t="inlineStr">
        <is>
          <t>K_actual = f×L²/t</t>
        </is>
      </c>
    </row>
    <row r="22">
      <c r="Q22" s="472" t="inlineStr">
        <is>
          <t>C5</t>
        </is>
      </c>
      <c r="R22" s="482">
        <f>SQRT($B$18*R5/(440*2^((72-69)/12)))</f>
        <v/>
      </c>
      <c r="S22" s="481">
        <f>R22*25.4</f>
        <v/>
      </c>
      <c r="U22" t="inlineStr">
        <is>
          <t>6. After all runs: fit K per species</t>
        </is>
      </c>
      <c r="W22" t="inlineStr">
        <is>
          <t>Update material library</t>
        </is>
      </c>
    </row>
    <row r="23">
      <c r="A23" s="486" t="inlineStr">
        <is>
          <t>Target Note</t>
        </is>
      </c>
      <c r="B23" s="486" t="inlineStr">
        <is>
          <t>MIDI</t>
        </is>
      </c>
      <c r="C23" s="664" t="inlineStr">
        <is>
          <t>Frequency (Hz)</t>
        </is>
      </c>
      <c r="D23" s="486" t="inlineStr">
        <is>
          <t>Tongue Length (in)</t>
        </is>
      </c>
      <c r="E23" s="486" t="inlineStr">
        <is>
          <t>Tongue Length (mm)</t>
        </is>
      </c>
      <c r="F23" s="486" t="inlineStr">
        <is>
          <t>Pitch Space (in)</t>
        </is>
      </c>
      <c r="Q23" s="472" t="inlineStr">
        <is>
          <t>D5</t>
        </is>
      </c>
      <c r="R23" s="482">
        <f>SQRT($B$18*R5/(440*2^((74-69)/12)))</f>
        <v/>
      </c>
      <c r="S23" s="481">
        <f>R23*25.4</f>
        <v/>
      </c>
    </row>
    <row r="24">
      <c r="A24" s="472" t="inlineStr">
        <is>
          <t>C3</t>
        </is>
      </c>
      <c r="B24" s="596" t="n">
        <v>48</v>
      </c>
      <c r="C24" s="469">
        <f>440*2^((B24-69)/12)</f>
        <v/>
      </c>
      <c r="D24" s="482">
        <f>SQRT($B$18*$B$19/C24)</f>
        <v/>
      </c>
      <c r="E24" s="481">
        <f>D24*25.4</f>
        <v/>
      </c>
      <c r="F24" s="482">
        <f>$B$20+2*$B$21</f>
        <v/>
      </c>
    </row>
    <row r="25">
      <c r="A25" s="472" t="inlineStr">
        <is>
          <t>C#3</t>
        </is>
      </c>
      <c r="B25" s="596" t="n">
        <v>49</v>
      </c>
      <c r="C25" s="469">
        <f>440*2^((B25-69)/12)</f>
        <v/>
      </c>
      <c r="D25" s="482">
        <f>SQRT($B$18*$B$19/C25)</f>
        <v/>
      </c>
      <c r="E25" s="481">
        <f>D25*25.4</f>
        <v/>
      </c>
      <c r="F25" s="482">
        <f>$B$20+2*$B$21</f>
        <v/>
      </c>
    </row>
    <row r="26">
      <c r="A26" s="472" t="inlineStr">
        <is>
          <t>D3</t>
        </is>
      </c>
      <c r="B26" s="596" t="n">
        <v>50</v>
      </c>
      <c r="C26" s="469">
        <f>440*2^((B26-69)/12)</f>
        <v/>
      </c>
      <c r="D26" s="482">
        <f>SQRT($B$18*$B$19/C26)</f>
        <v/>
      </c>
      <c r="E26" s="481">
        <f>D26*25.4</f>
        <v/>
      </c>
      <c r="F26" s="482">
        <f>$B$20+2*$B$21</f>
        <v/>
      </c>
    </row>
    <row r="27">
      <c r="A27" s="472" t="inlineStr">
        <is>
          <t>D#3</t>
        </is>
      </c>
      <c r="B27" s="596" t="n">
        <v>51</v>
      </c>
      <c r="C27" s="469">
        <f>440*2^((B27-69)/12)</f>
        <v/>
      </c>
      <c r="D27" s="482">
        <f>SQRT($B$18*$B$19/C27)</f>
        <v/>
      </c>
      <c r="E27" s="481">
        <f>D27*25.4</f>
        <v/>
      </c>
      <c r="F27" s="482">
        <f>$B$20+2*$B$21</f>
        <v/>
      </c>
    </row>
    <row r="28">
      <c r="A28" s="472" t="inlineStr">
        <is>
          <t>E3</t>
        </is>
      </c>
      <c r="B28" s="596" t="n">
        <v>52</v>
      </c>
      <c r="C28" s="469">
        <f>440*2^((B28-69)/12)</f>
        <v/>
      </c>
      <c r="D28" s="482">
        <f>SQRT($B$18*$B$19/C28)</f>
        <v/>
      </c>
      <c r="E28" s="481">
        <f>D28*25.4</f>
        <v/>
      </c>
      <c r="F28" s="482">
        <f>$B$20+2*$B$21</f>
        <v/>
      </c>
    </row>
    <row r="29">
      <c r="A29" s="472" t="inlineStr">
        <is>
          <t>F3</t>
        </is>
      </c>
      <c r="B29" s="596" t="n">
        <v>53</v>
      </c>
      <c r="C29" s="469">
        <f>440*2^((B29-69)/12)</f>
        <v/>
      </c>
      <c r="D29" s="482">
        <f>SQRT($B$18*$B$19/C29)</f>
        <v/>
      </c>
      <c r="E29" s="481">
        <f>D29*25.4</f>
        <v/>
      </c>
      <c r="F29" s="482">
        <f>$B$20+2*$B$21</f>
        <v/>
      </c>
    </row>
    <row r="30">
      <c r="A30" s="472" t="inlineStr">
        <is>
          <t>F#3</t>
        </is>
      </c>
      <c r="B30" s="596" t="n">
        <v>54</v>
      </c>
      <c r="C30" s="469">
        <f>440*2^((B30-69)/12)</f>
        <v/>
      </c>
      <c r="D30" s="482">
        <f>SQRT($B$18*$B$19/C30)</f>
        <v/>
      </c>
      <c r="E30" s="481">
        <f>D30*25.4</f>
        <v/>
      </c>
      <c r="F30" s="482">
        <f>$B$20+2*$B$21</f>
        <v/>
      </c>
    </row>
    <row r="31">
      <c r="A31" s="472" t="inlineStr">
        <is>
          <t>G3</t>
        </is>
      </c>
      <c r="B31" s="596" t="n">
        <v>55</v>
      </c>
      <c r="C31" s="469">
        <f>440*2^((B31-69)/12)</f>
        <v/>
      </c>
      <c r="D31" s="482">
        <f>SQRT($B$18*$B$19/C31)</f>
        <v/>
      </c>
      <c r="E31" s="481">
        <f>D31*25.4</f>
        <v/>
      </c>
      <c r="F31" s="482">
        <f>$B$20+2*$B$21</f>
        <v/>
      </c>
    </row>
    <row r="32">
      <c r="A32" s="472" t="inlineStr">
        <is>
          <t>G#3</t>
        </is>
      </c>
      <c r="B32" s="596" t="n">
        <v>56</v>
      </c>
      <c r="C32" s="469">
        <f>440*2^((B32-69)/12)</f>
        <v/>
      </c>
      <c r="D32" s="482">
        <f>SQRT($B$18*$B$19/C32)</f>
        <v/>
      </c>
      <c r="E32" s="481">
        <f>D32*25.4</f>
        <v/>
      </c>
      <c r="F32" s="482">
        <f>$B$20+2*$B$21</f>
        <v/>
      </c>
    </row>
    <row r="33">
      <c r="A33" s="472" t="inlineStr">
        <is>
          <t>A3</t>
        </is>
      </c>
      <c r="B33" s="596" t="n">
        <v>57</v>
      </c>
      <c r="C33" s="469">
        <f>440*2^((B33-69)/12)</f>
        <v/>
      </c>
      <c r="D33" s="482">
        <f>SQRT($B$18*$B$19/C33)</f>
        <v/>
      </c>
      <c r="E33" s="481">
        <f>D33*25.4</f>
        <v/>
      </c>
      <c r="F33" s="482">
        <f>$B$20+2*$B$21</f>
        <v/>
      </c>
    </row>
    <row r="34">
      <c r="A34" s="472" t="inlineStr">
        <is>
          <t>A#3</t>
        </is>
      </c>
      <c r="B34" s="596" t="n">
        <v>58</v>
      </c>
      <c r="C34" s="469">
        <f>440*2^((B34-69)/12)</f>
        <v/>
      </c>
      <c r="D34" s="482">
        <f>SQRT($B$18*$B$19/C34)</f>
        <v/>
      </c>
      <c r="E34" s="481">
        <f>D34*25.4</f>
        <v/>
      </c>
      <c r="F34" s="482">
        <f>$B$20+2*$B$21</f>
        <v/>
      </c>
    </row>
    <row r="35">
      <c r="A35" s="472" t="inlineStr">
        <is>
          <t>B3</t>
        </is>
      </c>
      <c r="B35" s="596" t="n">
        <v>59</v>
      </c>
      <c r="C35" s="469">
        <f>440*2^((B35-69)/12)</f>
        <v/>
      </c>
      <c r="D35" s="482">
        <f>SQRT($B$18*$B$19/C35)</f>
        <v/>
      </c>
      <c r="E35" s="481">
        <f>D35*25.4</f>
        <v/>
      </c>
      <c r="F35" s="482">
        <f>$B$20+2*$B$21</f>
        <v/>
      </c>
    </row>
    <row r="36">
      <c r="A36" s="472" t="inlineStr">
        <is>
          <t>C4</t>
        </is>
      </c>
      <c r="B36" s="596" t="n">
        <v>60</v>
      </c>
      <c r="C36" s="469">
        <f>440*2^((B36-69)/12)</f>
        <v/>
      </c>
      <c r="D36" s="482">
        <f>SQRT($B$18*$B$19/C36)</f>
        <v/>
      </c>
      <c r="E36" s="481">
        <f>D36*25.4</f>
        <v/>
      </c>
      <c r="F36" s="482">
        <f>$B$20+2*$B$21</f>
        <v/>
      </c>
    </row>
    <row r="37">
      <c r="A37" s="472" t="inlineStr">
        <is>
          <t>C#4</t>
        </is>
      </c>
      <c r="B37" s="596" t="n">
        <v>61</v>
      </c>
      <c r="C37" s="469">
        <f>440*2^((B37-69)/12)</f>
        <v/>
      </c>
      <c r="D37" s="482">
        <f>SQRT($B$18*$B$19/C37)</f>
        <v/>
      </c>
      <c r="E37" s="481">
        <f>D37*25.4</f>
        <v/>
      </c>
      <c r="F37" s="482">
        <f>$B$20+2*$B$21</f>
        <v/>
      </c>
    </row>
    <row r="38">
      <c r="A38" s="472" t="inlineStr">
        <is>
          <t>D4</t>
        </is>
      </c>
      <c r="B38" s="596" t="n">
        <v>62</v>
      </c>
      <c r="C38" s="469">
        <f>440*2^((B38-69)/12)</f>
        <v/>
      </c>
      <c r="D38" s="482">
        <f>SQRT($B$18*$B$19/C38)</f>
        <v/>
      </c>
      <c r="E38" s="481">
        <f>D38*25.4</f>
        <v/>
      </c>
      <c r="F38" s="482">
        <f>$B$20+2*$B$21</f>
        <v/>
      </c>
    </row>
    <row r="39">
      <c r="A39" s="472" t="inlineStr">
        <is>
          <t>D#4</t>
        </is>
      </c>
      <c r="B39" s="596" t="n">
        <v>63</v>
      </c>
      <c r="C39" s="469">
        <f>440*2^((B39-69)/12)</f>
        <v/>
      </c>
      <c r="D39" s="482">
        <f>SQRT($B$18*$B$19/C39)</f>
        <v/>
      </c>
      <c r="E39" s="481">
        <f>D39*25.4</f>
        <v/>
      </c>
      <c r="F39" s="482">
        <f>$B$20+2*$B$21</f>
        <v/>
      </c>
    </row>
    <row r="40">
      <c r="A40" s="472" t="inlineStr">
        <is>
          <t>E4</t>
        </is>
      </c>
      <c r="B40" s="596" t="n">
        <v>64</v>
      </c>
      <c r="C40" s="469">
        <f>440*2^((B40-69)/12)</f>
        <v/>
      </c>
      <c r="D40" s="482">
        <f>SQRT($B$18*$B$19/C40)</f>
        <v/>
      </c>
      <c r="E40" s="481">
        <f>D40*25.4</f>
        <v/>
      </c>
      <c r="F40" s="482">
        <f>$B$20+2*$B$21</f>
        <v/>
      </c>
    </row>
    <row r="41">
      <c r="A41" s="472" t="inlineStr">
        <is>
          <t>F4</t>
        </is>
      </c>
      <c r="B41" s="596" t="n">
        <v>65</v>
      </c>
      <c r="C41" s="469">
        <f>440*2^((B41-69)/12)</f>
        <v/>
      </c>
      <c r="D41" s="482">
        <f>SQRT($B$18*$B$19/C41)</f>
        <v/>
      </c>
      <c r="E41" s="481">
        <f>D41*25.4</f>
        <v/>
      </c>
      <c r="F41" s="482">
        <f>$B$20+2*$B$21</f>
        <v/>
      </c>
    </row>
    <row r="42">
      <c r="A42" s="472" t="inlineStr">
        <is>
          <t>F#4</t>
        </is>
      </c>
      <c r="B42" s="596" t="n">
        <v>66</v>
      </c>
      <c r="C42" s="469">
        <f>440*2^((B42-69)/12)</f>
        <v/>
      </c>
      <c r="D42" s="482">
        <f>SQRT($B$18*$B$19/C42)</f>
        <v/>
      </c>
      <c r="E42" s="481">
        <f>D42*25.4</f>
        <v/>
      </c>
      <c r="F42" s="482">
        <f>$B$20+2*$B$21</f>
        <v/>
      </c>
    </row>
    <row r="43">
      <c r="A43" s="472" t="inlineStr">
        <is>
          <t>G4</t>
        </is>
      </c>
      <c r="B43" s="596" t="n">
        <v>67</v>
      </c>
      <c r="C43" s="469">
        <f>440*2^((B43-69)/12)</f>
        <v/>
      </c>
      <c r="D43" s="482">
        <f>SQRT($B$18*$B$19/C43)</f>
        <v/>
      </c>
      <c r="E43" s="481">
        <f>D43*25.4</f>
        <v/>
      </c>
      <c r="F43" s="482">
        <f>$B$20+2*$B$21</f>
        <v/>
      </c>
    </row>
    <row r="44">
      <c r="A44" s="472" t="inlineStr">
        <is>
          <t>G#4</t>
        </is>
      </c>
      <c r="B44" s="596" t="n">
        <v>68</v>
      </c>
      <c r="C44" s="469">
        <f>440*2^((B44-69)/12)</f>
        <v/>
      </c>
      <c r="D44" s="482">
        <f>SQRT($B$18*$B$19/C44)</f>
        <v/>
      </c>
      <c r="E44" s="481">
        <f>D44*25.4</f>
        <v/>
      </c>
      <c r="F44" s="482">
        <f>$B$20+2*$B$21</f>
        <v/>
      </c>
    </row>
    <row r="45">
      <c r="A45" s="541" t="inlineStr">
        <is>
          <t>A4</t>
        </is>
      </c>
      <c r="B45" s="550" t="n">
        <v>69</v>
      </c>
      <c r="C45" s="665">
        <f>440*2^((B45-69)/12)</f>
        <v/>
      </c>
      <c r="D45" s="552">
        <f>SQRT($B$18*$B$19/C45)</f>
        <v/>
      </c>
      <c r="E45" s="666">
        <f>D45*25.4</f>
        <v/>
      </c>
      <c r="F45" s="552">
        <f>$B$20+2*$B$21</f>
        <v/>
      </c>
    </row>
    <row r="46">
      <c r="A46" s="472" t="inlineStr">
        <is>
          <t>A#4</t>
        </is>
      </c>
      <c r="B46" s="596" t="n">
        <v>70</v>
      </c>
      <c r="C46" s="469">
        <f>440*2^((B46-69)/12)</f>
        <v/>
      </c>
      <c r="D46" s="482">
        <f>SQRT($B$18*$B$19/C46)</f>
        <v/>
      </c>
      <c r="E46" s="481">
        <f>D46*25.4</f>
        <v/>
      </c>
      <c r="F46" s="482">
        <f>$B$20+2*$B$21</f>
        <v/>
      </c>
    </row>
    <row r="47">
      <c r="A47" s="472" t="inlineStr">
        <is>
          <t>B4</t>
        </is>
      </c>
      <c r="B47" s="596" t="n">
        <v>71</v>
      </c>
      <c r="C47" s="469">
        <f>440*2^((B47-69)/12)</f>
        <v/>
      </c>
      <c r="D47" s="482">
        <f>SQRT($B$18*$B$19/C47)</f>
        <v/>
      </c>
      <c r="E47" s="481">
        <f>D47*25.4</f>
        <v/>
      </c>
      <c r="F47" s="482">
        <f>$B$20+2*$B$21</f>
        <v/>
      </c>
    </row>
    <row r="48">
      <c r="A48" s="472" t="inlineStr">
        <is>
          <t>C5</t>
        </is>
      </c>
      <c r="B48" s="596" t="n">
        <v>72</v>
      </c>
      <c r="C48" s="469">
        <f>440*2^((B48-69)/12)</f>
        <v/>
      </c>
      <c r="D48" s="482">
        <f>SQRT($B$18*$B$19/C48)</f>
        <v/>
      </c>
      <c r="E48" s="481">
        <f>D48*25.4</f>
        <v/>
      </c>
      <c r="F48" s="482">
        <f>$B$20+2*$B$21</f>
        <v/>
      </c>
    </row>
    <row r="49">
      <c r="A49" s="472" t="inlineStr">
        <is>
          <t>C#5</t>
        </is>
      </c>
      <c r="B49" s="596" t="n">
        <v>73</v>
      </c>
      <c r="C49" s="469">
        <f>440*2^((B49-69)/12)</f>
        <v/>
      </c>
      <c r="D49" s="482">
        <f>SQRT($B$18*$B$19/C49)</f>
        <v/>
      </c>
      <c r="E49" s="481">
        <f>D49*25.4</f>
        <v/>
      </c>
      <c r="F49" s="482">
        <f>$B$20+2*$B$21</f>
        <v/>
      </c>
    </row>
    <row r="50">
      <c r="A50" s="472" t="inlineStr">
        <is>
          <t>D5</t>
        </is>
      </c>
      <c r="B50" s="596" t="n">
        <v>74</v>
      </c>
      <c r="C50" s="469">
        <f>440*2^((B50-69)/12)</f>
        <v/>
      </c>
      <c r="D50" s="482">
        <f>SQRT($B$18*$B$19/C50)</f>
        <v/>
      </c>
      <c r="E50" s="481">
        <f>D50*25.4</f>
        <v/>
      </c>
      <c r="F50" s="482">
        <f>$B$20+2*$B$21</f>
        <v/>
      </c>
    </row>
    <row r="51">
      <c r="A51" s="472" t="inlineStr">
        <is>
          <t>D#5</t>
        </is>
      </c>
      <c r="B51" s="596" t="n">
        <v>75</v>
      </c>
      <c r="C51" s="469">
        <f>440*2^((B51-69)/12)</f>
        <v/>
      </c>
      <c r="D51" s="482">
        <f>SQRT($B$18*$B$19/C51)</f>
        <v/>
      </c>
      <c r="E51" s="481">
        <f>D51*25.4</f>
        <v/>
      </c>
      <c r="F51" s="482">
        <f>$B$20+2*$B$21</f>
        <v/>
      </c>
    </row>
    <row r="52">
      <c r="A52" s="472" t="inlineStr">
        <is>
          <t>E5</t>
        </is>
      </c>
      <c r="B52" s="596" t="n">
        <v>76</v>
      </c>
      <c r="C52" s="469">
        <f>440*2^((B52-69)/12)</f>
        <v/>
      </c>
      <c r="D52" s="482">
        <f>SQRT($B$18*$B$19/C52)</f>
        <v/>
      </c>
      <c r="E52" s="481">
        <f>D52*25.4</f>
        <v/>
      </c>
      <c r="F52" s="482">
        <f>$B$20+2*$B$21</f>
        <v/>
      </c>
    </row>
    <row r="53">
      <c r="A53" s="472" t="inlineStr">
        <is>
          <t>F5</t>
        </is>
      </c>
      <c r="B53" s="596" t="n">
        <v>77</v>
      </c>
      <c r="C53" s="469">
        <f>440*2^((B53-69)/12)</f>
        <v/>
      </c>
      <c r="D53" s="482">
        <f>SQRT($B$18*$B$19/C53)</f>
        <v/>
      </c>
      <c r="E53" s="481">
        <f>D53*25.4</f>
        <v/>
      </c>
      <c r="F53" s="482">
        <f>$B$20+2*$B$21</f>
        <v/>
      </c>
    </row>
    <row r="54">
      <c r="A54" s="472" t="inlineStr">
        <is>
          <t>F#5</t>
        </is>
      </c>
      <c r="B54" s="596" t="n">
        <v>78</v>
      </c>
      <c r="C54" s="469">
        <f>440*2^((B54-69)/12)</f>
        <v/>
      </c>
      <c r="D54" s="482">
        <f>SQRT($B$18*$B$19/C54)</f>
        <v/>
      </c>
      <c r="E54" s="481">
        <f>D54*25.4</f>
        <v/>
      </c>
      <c r="F54" s="482">
        <f>$B$20+2*$B$21</f>
        <v/>
      </c>
    </row>
    <row r="55">
      <c r="A55" s="472" t="inlineStr">
        <is>
          <t>G5</t>
        </is>
      </c>
      <c r="B55" s="596" t="n">
        <v>79</v>
      </c>
      <c r="C55" s="469">
        <f>440*2^((B55-69)/12)</f>
        <v/>
      </c>
      <c r="D55" s="482">
        <f>SQRT($B$18*$B$19/C55)</f>
        <v/>
      </c>
      <c r="E55" s="481">
        <f>D55*25.4</f>
        <v/>
      </c>
      <c r="F55" s="482">
        <f>$B$20+2*$B$21</f>
        <v/>
      </c>
    </row>
    <row r="56">
      <c r="A56" s="472" t="inlineStr">
        <is>
          <t>G#5</t>
        </is>
      </c>
      <c r="B56" s="596" t="n">
        <v>80</v>
      </c>
      <c r="C56" s="469">
        <f>440*2^((B56-69)/12)</f>
        <v/>
      </c>
      <c r="D56" s="482">
        <f>SQRT($B$18*$B$19/C56)</f>
        <v/>
      </c>
      <c r="E56" s="481">
        <f>D56*25.4</f>
        <v/>
      </c>
      <c r="F56" s="482">
        <f>$B$20+2*$B$21</f>
        <v/>
      </c>
    </row>
    <row r="57">
      <c r="A57" s="472" t="inlineStr">
        <is>
          <t>A5</t>
        </is>
      </c>
      <c r="B57" s="596" t="n">
        <v>81</v>
      </c>
      <c r="C57" s="469">
        <f>440*2^((B57-69)/12)</f>
        <v/>
      </c>
      <c r="D57" s="482">
        <f>SQRT($B$18*$B$19/C57)</f>
        <v/>
      </c>
      <c r="E57" s="481">
        <f>D57*25.4</f>
        <v/>
      </c>
      <c r="F57" s="482">
        <f>$B$20+2*$B$21</f>
        <v/>
      </c>
    </row>
    <row r="58">
      <c r="A58" s="472" t="inlineStr">
        <is>
          <t>A#5</t>
        </is>
      </c>
      <c r="B58" s="596" t="n">
        <v>82</v>
      </c>
      <c r="C58" s="469">
        <f>440*2^((B58-69)/12)</f>
        <v/>
      </c>
      <c r="D58" s="482">
        <f>SQRT($B$18*$B$19/C58)</f>
        <v/>
      </c>
      <c r="E58" s="481">
        <f>D58*25.4</f>
        <v/>
      </c>
      <c r="F58" s="482">
        <f>$B$20+2*$B$21</f>
        <v/>
      </c>
    </row>
    <row r="59">
      <c r="A59" s="472" t="inlineStr">
        <is>
          <t>B5</t>
        </is>
      </c>
      <c r="B59" s="596" t="n">
        <v>83</v>
      </c>
      <c r="C59" s="469">
        <f>440*2^((B59-69)/12)</f>
        <v/>
      </c>
      <c r="D59" s="482">
        <f>SQRT($B$18*$B$19/C59)</f>
        <v/>
      </c>
      <c r="E59" s="481">
        <f>D59*25.4</f>
        <v/>
      </c>
      <c r="F59" s="482">
        <f>$B$20+2*$B$21</f>
        <v/>
      </c>
    </row>
    <row r="60">
      <c r="A60" s="472" t="inlineStr">
        <is>
          <t>C6</t>
        </is>
      </c>
      <c r="B60" s="596" t="n">
        <v>84</v>
      </c>
      <c r="C60" s="469">
        <f>440*2^((B60-69)/12)</f>
        <v/>
      </c>
      <c r="D60" s="482">
        <f>SQRT($B$18*$B$19/C60)</f>
        <v/>
      </c>
      <c r="E60" s="481">
        <f>D60*25.4</f>
        <v/>
      </c>
      <c r="F60" s="482">
        <f>$B$20+2*$B$21</f>
        <v/>
      </c>
    </row>
    <row r="63" ht="18" customHeight="1" s="817">
      <c r="A63" s="802" t="inlineStr">
        <is>
          <t>WOLFRAM CLOUD NOTEBOOK SPEC — TONGUE DRUM (WOOD)</t>
        </is>
      </c>
    </row>
    <row r="64" ht="18.75" customHeight="1" s="817">
      <c r="A64" s="813" t="inlineStr">
        <is>
          <t>WOLFRAM EXPLORATIONS — TONGUE DRUM</t>
        </is>
      </c>
    </row>
    <row r="65">
      <c r="A65" s="734" t="inlineStr">
        <is>
          <t>Roadmap-inspired notebook ideas mapped to this instrument.</t>
        </is>
      </c>
    </row>
    <row r="66">
      <c r="A66" s="609" t="inlineStr">
        <is>
          <t>§1 — Origin &amp; Etymology</t>
        </is>
      </c>
    </row>
    <row r="67">
      <c r="A67" s="808" t="inlineStr">
        <is>
          <t>Interactive design</t>
        </is>
      </c>
    </row>
    <row r="68">
      <c r="A68" s="811" t="inlineStr">
        <is>
          <t>→ Tongue Length Explorer (roadmap: Manipulate, filed as issue #36)</t>
        </is>
      </c>
    </row>
    <row r="69">
      <c r="A69" t="inlineStr">
        <is>
          <t>Manipulate sliders for thickness + species (9 wood K constants from sheet) → live-recompute all 8 tongue lengths and show as table. Hear the chord via AudioGenerator. Solves the "D3 too long" problem visually.</t>
        </is>
      </c>
    </row>
    <row r="70">
      <c r="A70" t="inlineStr">
        <is>
          <t>Pentatonic Scale Playground (roadmap: Interactive). Tablet-friendly clickable note grid; tap = pluck synth. Use as art-fair demo.</t>
        </is>
      </c>
    </row>
    <row r="71">
      <c r="A71" s="609" t="inlineStr">
        <is>
          <t>§2 — Physics</t>
        </is>
      </c>
    </row>
    <row r="72">
      <c r="A72" s="808" t="inlineStr">
        <is>
          <t>Computational physics</t>
        </is>
      </c>
    </row>
    <row r="73">
      <c r="A73" s="811" t="inlineStr">
        <is>
          <t>→ Cantilever Mode Shapes (roadmap: NDSolve)</t>
        </is>
      </c>
    </row>
    <row r="74">
      <c r="A74" t="inlineStr">
        <is>
          <t>NDEigensystem cantilever + animate modes 1–5. Show why mode 2 is at 6.27×f1 (not 2x) — cantilever modes are highly inharmonic, why tongue drums sound 'thudded-bell' rather than 'tonal'.</t>
        </is>
      </c>
    </row>
    <row r="75">
      <c r="A75" t="inlineStr">
        <is>
          <t>Coupled tongue-cavity model: ~20% Helmholtz coupling rule derived from first principles via 2-DOF coupled oscillator.</t>
        </is>
      </c>
    </row>
    <row r="76">
      <c r="A76" s="609" t="inlineStr">
        <is>
          <t>§3 — Geometry &amp; Materials</t>
        </is>
      </c>
    </row>
    <row r="77">
      <c r="A77" s="808" t="inlineStr">
        <is>
          <t>Sound synthesis &amp; timbre</t>
        </is>
      </c>
    </row>
    <row r="78">
      <c r="A78" s="811" t="inlineStr">
        <is>
          <t>→ Cantilever Timbre Comparison + Wood→Steel→Ceramic (roadmap: Publication, issue #35)</t>
        </is>
      </c>
    </row>
    <row r="79">
      <c r="A79" t="inlineStr">
        <is>
          <t>Synthesize same tongue (e.g. A4) in 3 materials with measured K + Q values. Spectrogram side-by-side. Cross-link to Steel Tongue Drum and Ceramic Tongue Drum sheets.</t>
        </is>
      </c>
    </row>
    <row r="80">
      <c r="A80" t="inlineStr">
        <is>
          <t>DOE protocol live: vary t, L, w on 3-bar prototype → NonlinearModelFit → back out actual K vs textbook K.</t>
        </is>
      </c>
    </row>
    <row r="81">
      <c r="A81" s="609" t="inlineStr">
        <is>
          <t>§4 — Animations</t>
        </is>
      </c>
    </row>
    <row r="82">
      <c r="A82" s="808" t="inlineStr">
        <is>
          <t>Engineering tolerance</t>
        </is>
      </c>
    </row>
    <row r="83">
      <c r="A83" t="inlineStr">
        <is>
          <t>Tolerance Stack-Up: kerf width tolerance on slot cut by 1/8" upcut spiral → effective L variance → cents error per tongue. Convince yourself when finer bit is worth the slower cut.</t>
        </is>
      </c>
    </row>
    <row r="85">
      <c r="A85" s="609" t="inlineStr">
        <is>
          <t>§5 — Executable Cells</t>
        </is>
      </c>
    </row>
    <row r="86">
      <c r="A86" t="inlineStr">
        <is>
          <t>kCant[E_,ρ_]:=(1.875^2/(2 π)) Sqrt[E/(12 ρ)] / 0.0254</t>
        </is>
      </c>
    </row>
    <row r="87">
      <c r="A87" t="inlineStr">
        <is>
          <t>fTongue[t_,L_,K_]:=K t/L^2</t>
        </is>
      </c>
    </row>
    <row r="88">
      <c r="A88" t="inlineStr">
        <is>
          <t>lTongue[f_,t_,K_]:=Sqrt[K t/f]</t>
        </is>
      </c>
    </row>
    <row r="89">
      <c r="A89" t="inlineStr">
        <is>
          <t>tonguePadauk := kCant[11 10^9, 745]  (* example *)</t>
        </is>
      </c>
    </row>
    <row r="91">
      <c r="A91" s="609" t="inlineStr">
        <is>
          <t>§6 — Wolfram Functions</t>
        </is>
      </c>
    </row>
    <row r="92">
      <c r="A92" t="inlineStr">
        <is>
          <t>NDEigensystem, Manipulate, Animate, Periodogram, SemanticImport, CloudDeploy, FormFunction, APIFunction.</t>
        </is>
      </c>
    </row>
  </sheetData>
  <mergeCells count="2">
    <mergeCell ref="U1:V1"/>
    <mergeCell ref="I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2026-05-01T02:02:13Z</dcterms:created>
  <dcterms:modified xmlns:dcterms="http://purl.org/dc/terms/" xmlns:xsi="http://www.w3.org/2001/XMLSchema-instance" xsi:type="dcterms:W3CDTF">2026-05-02T18:58:31Z</dcterms:modified>
  <cp:lastModifiedBy>Tony Koop</cp:lastModifiedBy>
</cp:coreProperties>
</file>